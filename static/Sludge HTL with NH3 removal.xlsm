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13_ncr:1_{B53CE603-4710-4357-A90D-DFF52CD300E5}" xr6:coauthVersionLast="47" xr6:coauthVersionMax="47" xr10:uidLastSave="{00000000-0000-0000-0000-000000000000}"/>
  <bookViews>
    <workbookView xWindow="-110" yWindow="-110" windowWidth="22780" windowHeight="14660" tabRatio="685" activeTab="7" xr2:uid="{CD6380C4-55CF-4A2B-8B40-E0431B51BF74}"/>
  </bookViews>
  <sheets>
    <sheet name="Introduction" sheetId="16" r:id="rId1"/>
    <sheet name="Template" sheetId="10" state="hidden" r:id="rId2"/>
    <sheet name="SI - Payload" sheetId="24" state="hidden" r:id="rId3"/>
    <sheet name="SI - Resources" sheetId="6" state="hidden" r:id="rId4"/>
    <sheet name="SI - End Use" sheetId="7" state="hidden" r:id="rId5"/>
    <sheet name="SI - Units" sheetId="8" state="hidden" r:id="rId6"/>
    <sheet name="SI - Co-products" sheetId="9" state="hidden" r:id="rId7"/>
    <sheet name="HTL" sheetId="25" r:id="rId8"/>
    <sheet name="Upgrading" sheetId="26" r:id="rId9"/>
  </sheets>
  <definedNames>
    <definedName name="biomass_resource">'SI - Resources'!$A$2:$A$3</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definedName>
    <definedName name="mass">'SI - Units'!$B$6:$F$6</definedName>
    <definedName name="mass_energy">'SI - Units'!$B$4:$M$4</definedName>
    <definedName name="mass_volume">'SI - Units'!$B$3:$K$3</definedName>
    <definedName name="mass_volume_energy">'SI - Units'!$B$2:$R$2</definedName>
    <definedName name="ng_end_use">'SI - End Use'!$C$3:$L$3</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Resources'!$H$2:$H$5</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6" i="25" l="1"/>
  <c r="L7" i="25"/>
  <c r="L8" i="25"/>
  <c r="L9" i="25"/>
  <c r="L10" i="25"/>
  <c r="L11" i="25"/>
  <c r="L12" i="25"/>
  <c r="L13" i="25"/>
  <c r="L16" i="25"/>
  <c r="L17" i="25"/>
  <c r="L18" i="25"/>
  <c r="L19" i="25"/>
  <c r="L20" i="25"/>
  <c r="L21" i="25"/>
  <c r="L22" i="25"/>
  <c r="L23" i="25"/>
  <c r="L24" i="25"/>
  <c r="L25" i="25"/>
  <c r="L26" i="25"/>
  <c r="L27" i="25"/>
  <c r="L28" i="25"/>
  <c r="L29" i="25"/>
  <c r="L30" i="25"/>
  <c r="L31" i="25"/>
  <c r="L32" i="25"/>
  <c r="L33" i="25"/>
  <c r="L34" i="25"/>
  <c r="L35" i="25"/>
  <c r="L36" i="25"/>
  <c r="L37" i="25"/>
  <c r="L38" i="25"/>
  <c r="L39" i="25"/>
  <c r="L40" i="25"/>
  <c r="L41" i="25"/>
  <c r="L42" i="25"/>
  <c r="L43" i="25"/>
  <c r="L44" i="25"/>
  <c r="L45" i="25"/>
  <c r="L46" i="25"/>
  <c r="L47" i="25"/>
  <c r="L48" i="25"/>
  <c r="L49" i="25"/>
  <c r="L50" i="25"/>
  <c r="L51" i="25"/>
  <c r="L52" i="25"/>
  <c r="L53" i="25"/>
  <c r="L54" i="25"/>
  <c r="L55" i="25"/>
  <c r="L56" i="25"/>
  <c r="L57" i="25"/>
  <c r="L58" i="25"/>
  <c r="L59" i="25"/>
  <c r="L60" i="25"/>
  <c r="L61" i="25"/>
  <c r="L62" i="25"/>
  <c r="L63" i="25"/>
  <c r="L64" i="25"/>
  <c r="L65" i="25"/>
  <c r="L66" i="25"/>
  <c r="L67" i="25"/>
  <c r="L68" i="25"/>
  <c r="L69" i="25"/>
  <c r="L70" i="25"/>
  <c r="L71" i="25"/>
  <c r="L72" i="25"/>
  <c r="L73" i="25"/>
  <c r="L74" i="25"/>
  <c r="L75" i="25"/>
  <c r="L76" i="25"/>
  <c r="L77" i="25"/>
  <c r="L78" i="25"/>
  <c r="L79" i="25"/>
  <c r="L80" i="25"/>
  <c r="L81" i="25"/>
  <c r="L82" i="25"/>
  <c r="L83" i="25"/>
  <c r="L84" i="25"/>
  <c r="L85" i="25"/>
  <c r="L86" i="25"/>
  <c r="L87" i="25"/>
  <c r="L88" i="25"/>
  <c r="L89" i="25"/>
  <c r="L90" i="25"/>
  <c r="L91" i="25"/>
  <c r="L92" i="25"/>
  <c r="L93" i="25"/>
  <c r="L94" i="25"/>
  <c r="L95" i="25"/>
  <c r="L96" i="25"/>
  <c r="L97" i="25"/>
  <c r="L98" i="25"/>
  <c r="L99" i="25"/>
  <c r="L100" i="25"/>
  <c r="M6" i="25"/>
  <c r="M7" i="25"/>
  <c r="M8" i="25"/>
  <c r="M9" i="25"/>
  <c r="M10" i="25"/>
  <c r="M11" i="25"/>
  <c r="M12" i="25"/>
  <c r="M13" i="25"/>
  <c r="M16" i="25"/>
  <c r="M17" i="25"/>
  <c r="M18" i="25"/>
  <c r="M19" i="25"/>
  <c r="M20" i="25"/>
  <c r="M21" i="25"/>
  <c r="M22" i="25"/>
  <c r="M23" i="25"/>
  <c r="M24" i="25"/>
  <c r="M25" i="25"/>
  <c r="M26" i="25"/>
  <c r="M27" i="25"/>
  <c r="M28" i="25"/>
  <c r="M29" i="25"/>
  <c r="M30" i="25"/>
  <c r="M31" i="25"/>
  <c r="M32" i="25"/>
  <c r="M33" i="25"/>
  <c r="M34" i="25"/>
  <c r="M35" i="25"/>
  <c r="M36" i="25"/>
  <c r="M37" i="25"/>
  <c r="M38" i="25"/>
  <c r="M39" i="25"/>
  <c r="M40" i="25"/>
  <c r="M41" i="25"/>
  <c r="M42" i="25"/>
  <c r="M43" i="25"/>
  <c r="M44" i="25"/>
  <c r="M45" i="25"/>
  <c r="M46" i="25"/>
  <c r="M47" i="25"/>
  <c r="M48" i="25"/>
  <c r="M49" i="25"/>
  <c r="M50" i="25"/>
  <c r="M51" i="25"/>
  <c r="M52" i="25"/>
  <c r="M53" i="25"/>
  <c r="M54" i="25"/>
  <c r="M55" i="25"/>
  <c r="M56" i="25"/>
  <c r="M57" i="25"/>
  <c r="M58" i="25"/>
  <c r="M59" i="25"/>
  <c r="M60" i="25"/>
  <c r="M61" i="25"/>
  <c r="M62" i="25"/>
  <c r="M63" i="25"/>
  <c r="M64" i="25"/>
  <c r="M65" i="25"/>
  <c r="M66" i="25"/>
  <c r="M67" i="25"/>
  <c r="M68" i="25"/>
  <c r="M69" i="25"/>
  <c r="M70" i="25"/>
  <c r="M71" i="25"/>
  <c r="M72" i="25"/>
  <c r="M73" i="25"/>
  <c r="M74" i="25"/>
  <c r="M75" i="25"/>
  <c r="M76" i="25"/>
  <c r="M77" i="25"/>
  <c r="M78" i="25"/>
  <c r="M79" i="25"/>
  <c r="M80" i="25"/>
  <c r="M81" i="25"/>
  <c r="M82" i="25"/>
  <c r="M83" i="25"/>
  <c r="M84" i="25"/>
  <c r="M85" i="25"/>
  <c r="M86" i="25"/>
  <c r="M87" i="25"/>
  <c r="M88" i="25"/>
  <c r="M89" i="25"/>
  <c r="M90" i="25"/>
  <c r="M91" i="25"/>
  <c r="M92" i="25"/>
  <c r="M93" i="25"/>
  <c r="M94" i="25"/>
  <c r="M95" i="25"/>
  <c r="M96" i="25"/>
  <c r="M97" i="25"/>
  <c r="M98" i="25"/>
  <c r="M99" i="25"/>
  <c r="M100" i="25"/>
  <c r="Q100" i="26"/>
  <c r="P100" i="26"/>
  <c r="M100" i="26"/>
  <c r="L100" i="26"/>
  <c r="I100" i="26"/>
  <c r="C100" i="26"/>
  <c r="F100" i="26" s="1" a="1"/>
  <c r="F100" i="26" s="1"/>
  <c r="Q99" i="26"/>
  <c r="P99" i="26"/>
  <c r="M99" i="26"/>
  <c r="L99" i="26"/>
  <c r="I99" i="26"/>
  <c r="F99" i="26" a="1"/>
  <c r="F99" i="26" s="1"/>
  <c r="D99" i="26"/>
  <c r="C99" i="26"/>
  <c r="P98" i="26"/>
  <c r="Q98" i="26" s="1"/>
  <c r="M98" i="26"/>
  <c r="L98" i="26"/>
  <c r="I98" i="26"/>
  <c r="F98" i="26"/>
  <c r="F98" i="26" a="1"/>
  <c r="D98" i="26"/>
  <c r="C98" i="26"/>
  <c r="P97" i="26"/>
  <c r="Q97" i="26" s="1"/>
  <c r="M97" i="26"/>
  <c r="L97" i="26"/>
  <c r="I97" i="26"/>
  <c r="F97" i="26"/>
  <c r="F97" i="26" a="1"/>
  <c r="C97" i="26"/>
  <c r="D97" i="26" s="1"/>
  <c r="P96" i="26"/>
  <c r="Q96" i="26" s="1"/>
  <c r="M96" i="26"/>
  <c r="L96" i="26"/>
  <c r="I96" i="26"/>
  <c r="C96" i="26"/>
  <c r="F96" i="26" s="1" a="1"/>
  <c r="F96" i="26" s="1"/>
  <c r="Q95" i="26"/>
  <c r="P95" i="26"/>
  <c r="M95" i="26"/>
  <c r="L95" i="26"/>
  <c r="I95" i="26"/>
  <c r="C95" i="26"/>
  <c r="F95" i="26" s="1" a="1"/>
  <c r="F95" i="26" s="1"/>
  <c r="P94" i="26"/>
  <c r="Q94" i="26" s="1"/>
  <c r="M94" i="26"/>
  <c r="L94" i="26"/>
  <c r="I94" i="26"/>
  <c r="F94" i="26" a="1"/>
  <c r="F94" i="26" s="1"/>
  <c r="D94" i="26"/>
  <c r="C94" i="26"/>
  <c r="Q93" i="26"/>
  <c r="P93" i="26"/>
  <c r="M93" i="26"/>
  <c r="L93" i="26"/>
  <c r="I93" i="26"/>
  <c r="C93" i="26"/>
  <c r="Q92" i="26"/>
  <c r="P92" i="26"/>
  <c r="M92" i="26"/>
  <c r="L92" i="26"/>
  <c r="I92" i="26"/>
  <c r="D92" i="26"/>
  <c r="C92" i="26"/>
  <c r="F92" i="26" s="1" a="1"/>
  <c r="F92" i="26" s="1"/>
  <c r="Q91" i="26"/>
  <c r="P91" i="26"/>
  <c r="M91" i="26"/>
  <c r="L91" i="26"/>
  <c r="I91" i="26"/>
  <c r="F91" i="26" a="1"/>
  <c r="F91" i="26" s="1"/>
  <c r="D91" i="26"/>
  <c r="C91" i="26"/>
  <c r="P90" i="26"/>
  <c r="Q90" i="26" s="1"/>
  <c r="M90" i="26"/>
  <c r="L90" i="26"/>
  <c r="I90" i="26"/>
  <c r="F90" i="26"/>
  <c r="F90" i="26" a="1"/>
  <c r="D90" i="26"/>
  <c r="C90" i="26"/>
  <c r="P89" i="26"/>
  <c r="Q89" i="26" s="1"/>
  <c r="M89" i="26"/>
  <c r="L89" i="26"/>
  <c r="I89" i="26"/>
  <c r="F89" i="26"/>
  <c r="F89" i="26" a="1"/>
  <c r="C89" i="26"/>
  <c r="D89" i="26" s="1"/>
  <c r="Q88" i="26"/>
  <c r="P88" i="26"/>
  <c r="M88" i="26"/>
  <c r="L88" i="26"/>
  <c r="I88" i="26"/>
  <c r="C88" i="26"/>
  <c r="F88" i="26" s="1" a="1"/>
  <c r="F88" i="26" s="1"/>
  <c r="Q87" i="26"/>
  <c r="P87" i="26"/>
  <c r="M87" i="26"/>
  <c r="L87" i="26"/>
  <c r="I87" i="26"/>
  <c r="D87" i="26"/>
  <c r="C87" i="26"/>
  <c r="F87" i="26" s="1" a="1"/>
  <c r="F87" i="26" s="1"/>
  <c r="P86" i="26"/>
  <c r="Q86" i="26" s="1"/>
  <c r="M86" i="26"/>
  <c r="L86" i="26"/>
  <c r="I86" i="26"/>
  <c r="F86" i="26" a="1"/>
  <c r="F86" i="26" s="1"/>
  <c r="D86" i="26"/>
  <c r="C86" i="26"/>
  <c r="Q85" i="26"/>
  <c r="P85" i="26"/>
  <c r="M85" i="26"/>
  <c r="L85" i="26"/>
  <c r="I85" i="26"/>
  <c r="C85" i="26"/>
  <c r="Q84" i="26"/>
  <c r="P84" i="26"/>
  <c r="M84" i="26"/>
  <c r="L84" i="26"/>
  <c r="I84" i="26"/>
  <c r="D84" i="26"/>
  <c r="C84" i="26"/>
  <c r="F84" i="26" s="1" a="1"/>
  <c r="F84" i="26" s="1"/>
  <c r="Q83" i="26"/>
  <c r="P83" i="26"/>
  <c r="M83" i="26"/>
  <c r="L83" i="26"/>
  <c r="I83" i="26"/>
  <c r="F83" i="26" a="1"/>
  <c r="F83" i="26" s="1"/>
  <c r="D83" i="26"/>
  <c r="C83" i="26"/>
  <c r="P82" i="26"/>
  <c r="Q82" i="26" s="1"/>
  <c r="M82" i="26"/>
  <c r="L82" i="26"/>
  <c r="I82" i="26"/>
  <c r="F82" i="26" a="1"/>
  <c r="F82" i="26" s="1"/>
  <c r="D82" i="26"/>
  <c r="C82" i="26"/>
  <c r="P81" i="26"/>
  <c r="Q81" i="26" s="1"/>
  <c r="M81" i="26"/>
  <c r="L81" i="26"/>
  <c r="I81" i="26"/>
  <c r="F81" i="26"/>
  <c r="F81" i="26" a="1"/>
  <c r="C81" i="26"/>
  <c r="D81" i="26" s="1"/>
  <c r="Q80" i="26"/>
  <c r="P80" i="26"/>
  <c r="M80" i="26"/>
  <c r="L80" i="26"/>
  <c r="I80" i="26"/>
  <c r="C80" i="26"/>
  <c r="F80" i="26" s="1" a="1"/>
  <c r="F80" i="26" s="1"/>
  <c r="Q79" i="26"/>
  <c r="P79" i="26"/>
  <c r="M79" i="26"/>
  <c r="L79" i="26"/>
  <c r="I79" i="26"/>
  <c r="D79" i="26"/>
  <c r="C79" i="26"/>
  <c r="F79" i="26" s="1" a="1"/>
  <c r="F79" i="26" s="1"/>
  <c r="P78" i="26"/>
  <c r="Q78" i="26" s="1"/>
  <c r="M78" i="26"/>
  <c r="L78" i="26"/>
  <c r="I78" i="26"/>
  <c r="F78" i="26" a="1"/>
  <c r="F78" i="26" s="1"/>
  <c r="D78" i="26"/>
  <c r="C78" i="26"/>
  <c r="Q77" i="26"/>
  <c r="P77" i="26"/>
  <c r="M77" i="26"/>
  <c r="L77" i="26"/>
  <c r="I77" i="26"/>
  <c r="C77" i="26"/>
  <c r="Q76" i="26"/>
  <c r="P76" i="26"/>
  <c r="M76" i="26"/>
  <c r="L76" i="26"/>
  <c r="I76" i="26"/>
  <c r="D76" i="26"/>
  <c r="C76" i="26"/>
  <c r="F76" i="26" s="1" a="1"/>
  <c r="F76" i="26" s="1"/>
  <c r="Q75" i="26"/>
  <c r="P75" i="26"/>
  <c r="M75" i="26"/>
  <c r="L75" i="26"/>
  <c r="I75" i="26"/>
  <c r="F75" i="26" a="1"/>
  <c r="F75" i="26" s="1"/>
  <c r="D75" i="26"/>
  <c r="C75" i="26"/>
  <c r="P74" i="26"/>
  <c r="Q74" i="26" s="1"/>
  <c r="M74" i="26"/>
  <c r="L74" i="26"/>
  <c r="I74" i="26"/>
  <c r="F74" i="26" a="1"/>
  <c r="F74" i="26" s="1"/>
  <c r="D74" i="26"/>
  <c r="C74" i="26"/>
  <c r="P73" i="26"/>
  <c r="Q73" i="26" s="1"/>
  <c r="M73" i="26"/>
  <c r="L73" i="26"/>
  <c r="I73" i="26"/>
  <c r="F73" i="26"/>
  <c r="F73" i="26" a="1"/>
  <c r="C73" i="26"/>
  <c r="D73" i="26" s="1"/>
  <c r="Q72" i="26"/>
  <c r="P72" i="26"/>
  <c r="M72" i="26"/>
  <c r="L72" i="26"/>
  <c r="I72" i="26"/>
  <c r="C72" i="26"/>
  <c r="F72" i="26" s="1" a="1"/>
  <c r="F72" i="26" s="1"/>
  <c r="Q71" i="26"/>
  <c r="P71" i="26"/>
  <c r="M71" i="26"/>
  <c r="L71" i="26"/>
  <c r="I71" i="26"/>
  <c r="D71" i="26"/>
  <c r="C71" i="26"/>
  <c r="F71" i="26" s="1" a="1"/>
  <c r="F71" i="26" s="1"/>
  <c r="P70" i="26"/>
  <c r="Q70" i="26" s="1"/>
  <c r="M70" i="26"/>
  <c r="L70" i="26"/>
  <c r="I70" i="26"/>
  <c r="F70" i="26" a="1"/>
  <c r="F70" i="26" s="1"/>
  <c r="D70" i="26"/>
  <c r="C70" i="26"/>
  <c r="P69" i="26"/>
  <c r="Q69" i="26" s="1"/>
  <c r="M69" i="26"/>
  <c r="L69" i="26"/>
  <c r="I69" i="26"/>
  <c r="C69" i="26"/>
  <c r="Q68" i="26"/>
  <c r="P68" i="26"/>
  <c r="M68" i="26"/>
  <c r="L68" i="26"/>
  <c r="I68" i="26"/>
  <c r="C68" i="26"/>
  <c r="F68" i="26" s="1" a="1"/>
  <c r="F68" i="26" s="1"/>
  <c r="Q67" i="26"/>
  <c r="P67" i="26"/>
  <c r="M67" i="26"/>
  <c r="L67" i="26"/>
  <c r="I67" i="26"/>
  <c r="C67" i="26"/>
  <c r="F67" i="26" s="1" a="1"/>
  <c r="F67" i="26" s="1"/>
  <c r="P66" i="26"/>
  <c r="Q66" i="26" s="1"/>
  <c r="M66" i="26"/>
  <c r="L66" i="26"/>
  <c r="I66" i="26"/>
  <c r="F66" i="26"/>
  <c r="F66" i="26" a="1"/>
  <c r="D66" i="26"/>
  <c r="C66" i="26"/>
  <c r="P65" i="26"/>
  <c r="Q65" i="26" s="1"/>
  <c r="M65" i="26"/>
  <c r="L65" i="26"/>
  <c r="I65" i="26"/>
  <c r="F65" i="26"/>
  <c r="F65" i="26" a="1"/>
  <c r="C65" i="26"/>
  <c r="D65" i="26" s="1"/>
  <c r="Q64" i="26"/>
  <c r="P64" i="26"/>
  <c r="M64" i="26"/>
  <c r="L64" i="26"/>
  <c r="I64" i="26"/>
  <c r="C64" i="26"/>
  <c r="Q63" i="26"/>
  <c r="P63" i="26"/>
  <c r="M63" i="26"/>
  <c r="L63" i="26"/>
  <c r="I63" i="26"/>
  <c r="D63" i="26"/>
  <c r="C63" i="26"/>
  <c r="F63" i="26" s="1" a="1"/>
  <c r="F63" i="26" s="1"/>
  <c r="P62" i="26"/>
  <c r="Q62" i="26" s="1"/>
  <c r="M62" i="26"/>
  <c r="L62" i="26"/>
  <c r="I62" i="26"/>
  <c r="F62" i="26" a="1"/>
  <c r="F62" i="26" s="1"/>
  <c r="D62" i="26"/>
  <c r="C62" i="26"/>
  <c r="Q61" i="26"/>
  <c r="P61" i="26"/>
  <c r="M61" i="26"/>
  <c r="L61" i="26"/>
  <c r="I61" i="26"/>
  <c r="C61" i="26"/>
  <c r="P60" i="26"/>
  <c r="Q60" i="26" s="1"/>
  <c r="M60" i="26"/>
  <c r="L60" i="26"/>
  <c r="I60" i="26"/>
  <c r="C60" i="26"/>
  <c r="F60" i="26" s="1" a="1"/>
  <c r="F60" i="26" s="1"/>
  <c r="Q59" i="26"/>
  <c r="P59" i="26"/>
  <c r="M59" i="26"/>
  <c r="L59" i="26"/>
  <c r="I59" i="26"/>
  <c r="F59" i="26" a="1"/>
  <c r="F59" i="26" s="1"/>
  <c r="C59" i="26"/>
  <c r="D59" i="26" s="1"/>
  <c r="P58" i="26"/>
  <c r="Q58" i="26" s="1"/>
  <c r="M58" i="26"/>
  <c r="L58" i="26"/>
  <c r="I58" i="26"/>
  <c r="F58" i="26" a="1"/>
  <c r="F58" i="26" s="1"/>
  <c r="D58" i="26"/>
  <c r="C58" i="26"/>
  <c r="P57" i="26"/>
  <c r="Q57" i="26" s="1"/>
  <c r="M57" i="26"/>
  <c r="L57" i="26"/>
  <c r="I57" i="26"/>
  <c r="F57" i="26" a="1"/>
  <c r="F57" i="26" s="1"/>
  <c r="C57" i="26"/>
  <c r="D57" i="26" s="1"/>
  <c r="Q56" i="26"/>
  <c r="P56" i="26"/>
  <c r="M56" i="26"/>
  <c r="L56" i="26"/>
  <c r="I56" i="26"/>
  <c r="C56" i="26"/>
  <c r="Q55" i="26"/>
  <c r="P55" i="26"/>
  <c r="M55" i="26"/>
  <c r="L55" i="26"/>
  <c r="I55" i="26"/>
  <c r="D55" i="26"/>
  <c r="C55" i="26"/>
  <c r="F55" i="26" s="1" a="1"/>
  <c r="F55" i="26" s="1"/>
  <c r="P54" i="26"/>
  <c r="Q54" i="26" s="1"/>
  <c r="M54" i="26"/>
  <c r="L54" i="26"/>
  <c r="I54" i="26"/>
  <c r="F54" i="26" a="1"/>
  <c r="F54" i="26" s="1"/>
  <c r="D54" i="26"/>
  <c r="C54" i="26"/>
  <c r="P53" i="26"/>
  <c r="Q53" i="26" s="1"/>
  <c r="M53" i="26"/>
  <c r="L53" i="26"/>
  <c r="I53" i="26"/>
  <c r="C53" i="26"/>
  <c r="P52" i="26"/>
  <c r="Q52" i="26" s="1"/>
  <c r="M52" i="26"/>
  <c r="L52" i="26"/>
  <c r="I52" i="26"/>
  <c r="C52" i="26"/>
  <c r="F52" i="26" s="1" a="1"/>
  <c r="F52" i="26" s="1"/>
  <c r="Q51" i="26"/>
  <c r="P51" i="26"/>
  <c r="M51" i="26"/>
  <c r="L51" i="26"/>
  <c r="I51" i="26"/>
  <c r="C51" i="26"/>
  <c r="F51" i="26" s="1" a="1"/>
  <c r="F51" i="26" s="1"/>
  <c r="P50" i="26"/>
  <c r="Q50" i="26" s="1"/>
  <c r="M50" i="26"/>
  <c r="L50" i="26"/>
  <c r="I50" i="26"/>
  <c r="F50" i="26" a="1"/>
  <c r="F50" i="26" s="1"/>
  <c r="D50" i="26"/>
  <c r="C50" i="26"/>
  <c r="P49" i="26"/>
  <c r="Q49" i="26" s="1"/>
  <c r="M49" i="26"/>
  <c r="L49" i="26"/>
  <c r="I49" i="26"/>
  <c r="F49" i="26" a="1"/>
  <c r="F49" i="26" s="1"/>
  <c r="C49" i="26"/>
  <c r="D49" i="26" s="1"/>
  <c r="Q48" i="26"/>
  <c r="P48" i="26"/>
  <c r="M48" i="26"/>
  <c r="L48" i="26"/>
  <c r="I48" i="26"/>
  <c r="C48" i="26"/>
  <c r="Q47" i="26"/>
  <c r="P47" i="26"/>
  <c r="M47" i="26"/>
  <c r="L47" i="26"/>
  <c r="I47" i="26"/>
  <c r="D47" i="26"/>
  <c r="C47" i="26"/>
  <c r="F47" i="26" s="1" a="1"/>
  <c r="F47" i="26" s="1"/>
  <c r="P46" i="26"/>
  <c r="Q46" i="26" s="1"/>
  <c r="M46" i="26"/>
  <c r="L46" i="26"/>
  <c r="I46" i="26"/>
  <c r="F46" i="26" a="1"/>
  <c r="F46" i="26" s="1"/>
  <c r="D46" i="26"/>
  <c r="C46" i="26"/>
  <c r="P45" i="26"/>
  <c r="Q45" i="26" s="1"/>
  <c r="M45" i="26"/>
  <c r="L45" i="26"/>
  <c r="I45" i="26"/>
  <c r="C45" i="26"/>
  <c r="Q44" i="26"/>
  <c r="P44" i="26"/>
  <c r="M44" i="26"/>
  <c r="L44" i="26"/>
  <c r="I44" i="26"/>
  <c r="D44" i="26"/>
  <c r="C44" i="26"/>
  <c r="F44" i="26" s="1" a="1"/>
  <c r="F44" i="26" s="1"/>
  <c r="Q43" i="26"/>
  <c r="P43" i="26"/>
  <c r="M43" i="26"/>
  <c r="L43" i="26"/>
  <c r="I43" i="26"/>
  <c r="F43" i="26" a="1"/>
  <c r="F43" i="26" s="1"/>
  <c r="D43" i="26"/>
  <c r="C43" i="26"/>
  <c r="P42" i="26"/>
  <c r="Q42" i="26" s="1"/>
  <c r="M42" i="26"/>
  <c r="L42" i="26"/>
  <c r="I42" i="26"/>
  <c r="F42" i="26" a="1"/>
  <c r="F42" i="26" s="1"/>
  <c r="D42" i="26"/>
  <c r="C42" i="26"/>
  <c r="P41" i="26"/>
  <c r="Q41" i="26" s="1"/>
  <c r="M41" i="26"/>
  <c r="L41" i="26"/>
  <c r="I41" i="26"/>
  <c r="F41" i="26" a="1"/>
  <c r="F41" i="26" s="1"/>
  <c r="C41" i="26"/>
  <c r="D41" i="26" s="1"/>
  <c r="Q40" i="26"/>
  <c r="P40" i="26"/>
  <c r="M40" i="26"/>
  <c r="L40" i="26"/>
  <c r="I40" i="26"/>
  <c r="C40" i="26"/>
  <c r="Q39" i="26"/>
  <c r="P39" i="26"/>
  <c r="M39" i="26"/>
  <c r="L39" i="26"/>
  <c r="I39" i="26"/>
  <c r="D39" i="26"/>
  <c r="C39" i="26"/>
  <c r="F39" i="26" s="1" a="1"/>
  <c r="F39" i="26" s="1"/>
  <c r="P38" i="26"/>
  <c r="Q38" i="26" s="1"/>
  <c r="M38" i="26"/>
  <c r="L38" i="26"/>
  <c r="I38" i="26"/>
  <c r="F38" i="26" a="1"/>
  <c r="F38" i="26" s="1"/>
  <c r="D38" i="26"/>
  <c r="C38" i="26"/>
  <c r="P37" i="26"/>
  <c r="Q37" i="26" s="1"/>
  <c r="M37" i="26"/>
  <c r="L37" i="26"/>
  <c r="I37" i="26"/>
  <c r="C37" i="26"/>
  <c r="Q36" i="26"/>
  <c r="P36" i="26"/>
  <c r="M36" i="26"/>
  <c r="L36" i="26"/>
  <c r="I36" i="26"/>
  <c r="C36" i="26"/>
  <c r="F36" i="26" s="1" a="1"/>
  <c r="F36" i="26" s="1"/>
  <c r="Q35" i="26"/>
  <c r="P35" i="26"/>
  <c r="M35" i="26"/>
  <c r="L35" i="26"/>
  <c r="I35" i="26"/>
  <c r="C35" i="26"/>
  <c r="F35" i="26" s="1" a="1"/>
  <c r="F35" i="26" s="1"/>
  <c r="P34" i="26"/>
  <c r="Q34" i="26" s="1"/>
  <c r="M34" i="26"/>
  <c r="L34" i="26"/>
  <c r="I34" i="26"/>
  <c r="F34" i="26"/>
  <c r="F34" i="26" a="1"/>
  <c r="D34" i="26"/>
  <c r="C34" i="26"/>
  <c r="P33" i="26"/>
  <c r="Q33" i="26" s="1"/>
  <c r="M33" i="26"/>
  <c r="L33" i="26"/>
  <c r="I33" i="26"/>
  <c r="F33" i="26"/>
  <c r="F33" i="26" a="1"/>
  <c r="C33" i="26"/>
  <c r="D33" i="26" s="1"/>
  <c r="Q32" i="26"/>
  <c r="P32" i="26"/>
  <c r="M32" i="26"/>
  <c r="L32" i="26"/>
  <c r="I32" i="26"/>
  <c r="C32" i="26"/>
  <c r="Q31" i="26"/>
  <c r="P31" i="26"/>
  <c r="M31" i="26"/>
  <c r="L31" i="26"/>
  <c r="I31" i="26"/>
  <c r="D31" i="26"/>
  <c r="C31" i="26"/>
  <c r="F31" i="26" s="1" a="1"/>
  <c r="F31" i="26" s="1"/>
  <c r="P30" i="26"/>
  <c r="Q30" i="26" s="1"/>
  <c r="M30" i="26"/>
  <c r="L30" i="26"/>
  <c r="I30" i="26"/>
  <c r="F30" i="26" a="1"/>
  <c r="F30" i="26" s="1"/>
  <c r="D30" i="26"/>
  <c r="C30" i="26"/>
  <c r="Q29" i="26"/>
  <c r="P29" i="26"/>
  <c r="M29" i="26"/>
  <c r="L29" i="26"/>
  <c r="I29" i="26"/>
  <c r="C29" i="26"/>
  <c r="P28" i="26"/>
  <c r="Q28" i="26" s="1"/>
  <c r="M28" i="26"/>
  <c r="L28" i="26"/>
  <c r="I28" i="26"/>
  <c r="C28" i="26"/>
  <c r="F28" i="26" s="1" a="1"/>
  <c r="F28" i="26" s="1"/>
  <c r="Q27" i="26"/>
  <c r="P27" i="26"/>
  <c r="M27" i="26"/>
  <c r="L27" i="26"/>
  <c r="I27" i="26"/>
  <c r="F27" i="26" a="1"/>
  <c r="F27" i="26" s="1"/>
  <c r="C27" i="26"/>
  <c r="D27" i="26" s="1"/>
  <c r="P26" i="26"/>
  <c r="Q26" i="26" s="1"/>
  <c r="M26" i="26"/>
  <c r="L26" i="26"/>
  <c r="I26" i="26"/>
  <c r="F26" i="26" a="1"/>
  <c r="F26" i="26" s="1"/>
  <c r="D26" i="26"/>
  <c r="C26" i="26"/>
  <c r="P25" i="26"/>
  <c r="Q25" i="26" s="1"/>
  <c r="M25" i="26"/>
  <c r="L25" i="26"/>
  <c r="I25" i="26"/>
  <c r="F25" i="26" a="1"/>
  <c r="F25" i="26" s="1"/>
  <c r="C25" i="26"/>
  <c r="D25" i="26" s="1"/>
  <c r="Q24" i="26"/>
  <c r="P24" i="26"/>
  <c r="M24" i="26"/>
  <c r="L24" i="26"/>
  <c r="I24" i="26"/>
  <c r="C24" i="26"/>
  <c r="Q23" i="26"/>
  <c r="P23" i="26"/>
  <c r="M23" i="26"/>
  <c r="L23" i="26"/>
  <c r="I23" i="26"/>
  <c r="D23" i="26"/>
  <c r="C23" i="26"/>
  <c r="F23" i="26" s="1" a="1"/>
  <c r="F23" i="26" s="1"/>
  <c r="P22" i="26"/>
  <c r="Q22" i="26" s="1"/>
  <c r="M22" i="26"/>
  <c r="L22" i="26"/>
  <c r="I22" i="26"/>
  <c r="F22" i="26" a="1"/>
  <c r="F22" i="26" s="1"/>
  <c r="D22" i="26"/>
  <c r="C22" i="26"/>
  <c r="P21" i="26"/>
  <c r="Q21" i="26" s="1"/>
  <c r="M21" i="26"/>
  <c r="L21" i="26"/>
  <c r="I21" i="26"/>
  <c r="C21" i="26"/>
  <c r="Q20" i="26"/>
  <c r="P20" i="26"/>
  <c r="M20" i="26"/>
  <c r="L20" i="26"/>
  <c r="I20" i="26"/>
  <c r="C20" i="26"/>
  <c r="F20" i="26" s="1" a="1"/>
  <c r="F20" i="26" s="1"/>
  <c r="Q19" i="26"/>
  <c r="P19" i="26"/>
  <c r="M19" i="26"/>
  <c r="L19" i="26"/>
  <c r="I19" i="26"/>
  <c r="C19" i="26"/>
  <c r="F19" i="26" s="1" a="1"/>
  <c r="F19" i="26" s="1"/>
  <c r="P18" i="26"/>
  <c r="Q18" i="26" s="1"/>
  <c r="M18" i="26"/>
  <c r="L18" i="26"/>
  <c r="I18" i="26"/>
  <c r="F18" i="26" a="1"/>
  <c r="F18" i="26" s="1"/>
  <c r="D18" i="26"/>
  <c r="C18" i="26"/>
  <c r="P17" i="26"/>
  <c r="Q17" i="26" s="1"/>
  <c r="M17" i="26"/>
  <c r="L17" i="26"/>
  <c r="I17" i="26"/>
  <c r="F17" i="26" a="1"/>
  <c r="F17" i="26" s="1"/>
  <c r="C17" i="26"/>
  <c r="D17" i="26" s="1"/>
  <c r="Q16" i="26"/>
  <c r="P16" i="26"/>
  <c r="M16" i="26"/>
  <c r="L16" i="26"/>
  <c r="I16" i="26"/>
  <c r="C16" i="26"/>
  <c r="M15" i="26"/>
  <c r="L15" i="26"/>
  <c r="I15" i="26"/>
  <c r="P14" i="26"/>
  <c r="Q14" i="26" s="1"/>
  <c r="M14" i="26"/>
  <c r="L14" i="26"/>
  <c r="I14" i="26"/>
  <c r="P13" i="26"/>
  <c r="Q13" i="26" s="1"/>
  <c r="M13" i="26"/>
  <c r="L13" i="26"/>
  <c r="I13" i="26"/>
  <c r="Q12" i="26"/>
  <c r="P12" i="26"/>
  <c r="M12" i="26"/>
  <c r="L12" i="26"/>
  <c r="I12" i="26"/>
  <c r="P11" i="26"/>
  <c r="Q11" i="26" s="1"/>
  <c r="M11" i="26"/>
  <c r="L11" i="26"/>
  <c r="I11" i="26"/>
  <c r="P10" i="26"/>
  <c r="Q10" i="26" s="1"/>
  <c r="M10" i="26"/>
  <c r="L10" i="26"/>
  <c r="I10" i="26"/>
  <c r="P9" i="26"/>
  <c r="Q9" i="26" s="1"/>
  <c r="M9" i="26"/>
  <c r="L9" i="26"/>
  <c r="I9" i="26"/>
  <c r="P8" i="26"/>
  <c r="Q8" i="26" s="1"/>
  <c r="M8" i="26"/>
  <c r="L8" i="26"/>
  <c r="I8" i="26"/>
  <c r="Q7" i="26"/>
  <c r="P7" i="26"/>
  <c r="M7" i="26"/>
  <c r="L7" i="26"/>
  <c r="I7" i="26"/>
  <c r="P6" i="26"/>
  <c r="Q6" i="26" s="1"/>
  <c r="M6" i="26"/>
  <c r="L6" i="26"/>
  <c r="I6" i="26"/>
  <c r="E16" i="25"/>
  <c r="Q100" i="25"/>
  <c r="P100" i="25"/>
  <c r="I100" i="25"/>
  <c r="F100" i="25" a="1"/>
  <c r="F100" i="25" s="1"/>
  <c r="D100" i="25"/>
  <c r="C100" i="25"/>
  <c r="Q99" i="25"/>
  <c r="P99" i="25"/>
  <c r="I99" i="25"/>
  <c r="D99" i="25"/>
  <c r="C99" i="25"/>
  <c r="F99" i="25" s="1" a="1"/>
  <c r="F99" i="25" s="1"/>
  <c r="P98" i="25"/>
  <c r="Q98" i="25" s="1"/>
  <c r="I98" i="25"/>
  <c r="C98" i="25"/>
  <c r="Q97" i="25"/>
  <c r="P97" i="25"/>
  <c r="I97" i="25"/>
  <c r="F97" i="25" a="1"/>
  <c r="F97" i="25" s="1"/>
  <c r="C97" i="25"/>
  <c r="D97" i="25" s="1"/>
  <c r="Q96" i="25"/>
  <c r="P96" i="25"/>
  <c r="I96" i="25"/>
  <c r="F96" i="25"/>
  <c r="F96" i="25" a="1"/>
  <c r="D96" i="25"/>
  <c r="C96" i="25"/>
  <c r="P95" i="25"/>
  <c r="Q95" i="25" s="1"/>
  <c r="I95" i="25"/>
  <c r="F95" i="25" a="1"/>
  <c r="F95" i="25" s="1"/>
  <c r="C95" i="25"/>
  <c r="D95" i="25" s="1"/>
  <c r="P94" i="25"/>
  <c r="Q94" i="25" s="1"/>
  <c r="I94" i="25"/>
  <c r="D94" i="25"/>
  <c r="C94" i="25"/>
  <c r="F94" i="25" s="1" a="1"/>
  <c r="F94" i="25" s="1"/>
  <c r="Q93" i="25"/>
  <c r="P93" i="25"/>
  <c r="I93" i="25"/>
  <c r="C93" i="25"/>
  <c r="P92" i="25"/>
  <c r="Q92" i="25" s="1"/>
  <c r="I92" i="25"/>
  <c r="F92" i="25" a="1"/>
  <c r="F92" i="25" s="1"/>
  <c r="D92" i="25"/>
  <c r="C92" i="25"/>
  <c r="Q91" i="25"/>
  <c r="P91" i="25"/>
  <c r="I91" i="25"/>
  <c r="D91" i="25"/>
  <c r="C91" i="25"/>
  <c r="F91" i="25" s="1" a="1"/>
  <c r="F91" i="25" s="1"/>
  <c r="P90" i="25"/>
  <c r="Q90" i="25" s="1"/>
  <c r="I90" i="25"/>
  <c r="C90" i="25"/>
  <c r="Q89" i="25"/>
  <c r="P89" i="25"/>
  <c r="I89" i="25"/>
  <c r="F89" i="25"/>
  <c r="F89" i="25" a="1"/>
  <c r="C89" i="25"/>
  <c r="D89" i="25" s="1"/>
  <c r="Q88" i="25"/>
  <c r="P88" i="25"/>
  <c r="I88" i="25"/>
  <c r="F88" i="25" a="1"/>
  <c r="F88" i="25" s="1"/>
  <c r="D88" i="25"/>
  <c r="C88" i="25"/>
  <c r="P87" i="25"/>
  <c r="Q87" i="25" s="1"/>
  <c r="I87" i="25"/>
  <c r="C87" i="25"/>
  <c r="F87" i="25" s="1" a="1"/>
  <c r="F87" i="25" s="1"/>
  <c r="P86" i="25"/>
  <c r="Q86" i="25" s="1"/>
  <c r="I86" i="25"/>
  <c r="C86" i="25"/>
  <c r="F86" i="25" s="1" a="1"/>
  <c r="F86" i="25" s="1"/>
  <c r="Q85" i="25"/>
  <c r="P85" i="25"/>
  <c r="I85" i="25"/>
  <c r="C85" i="25"/>
  <c r="Q84" i="25"/>
  <c r="P84" i="25"/>
  <c r="I84" i="25"/>
  <c r="F84" i="25" a="1"/>
  <c r="F84" i="25" s="1"/>
  <c r="D84" i="25"/>
  <c r="C84" i="25"/>
  <c r="P83" i="25"/>
  <c r="Q83" i="25" s="1"/>
  <c r="I83" i="25"/>
  <c r="D83" i="25"/>
  <c r="C83" i="25"/>
  <c r="F83" i="25" s="1" a="1"/>
  <c r="F83" i="25" s="1"/>
  <c r="P82" i="25"/>
  <c r="Q82" i="25" s="1"/>
  <c r="I82" i="25"/>
  <c r="C82" i="25"/>
  <c r="Q81" i="25"/>
  <c r="P81" i="25"/>
  <c r="I81" i="25"/>
  <c r="F81" i="25"/>
  <c r="F81" i="25" a="1"/>
  <c r="C81" i="25"/>
  <c r="D81" i="25" s="1"/>
  <c r="Q80" i="25"/>
  <c r="P80" i="25"/>
  <c r="I80" i="25"/>
  <c r="F80" i="25" a="1"/>
  <c r="F80" i="25" s="1"/>
  <c r="D80" i="25"/>
  <c r="C80" i="25"/>
  <c r="P79" i="25"/>
  <c r="Q79" i="25" s="1"/>
  <c r="I79" i="25"/>
  <c r="F79" i="25" a="1"/>
  <c r="F79" i="25" s="1"/>
  <c r="D79" i="25"/>
  <c r="C79" i="25"/>
  <c r="Q78" i="25"/>
  <c r="P78" i="25"/>
  <c r="I78" i="25"/>
  <c r="D78" i="25"/>
  <c r="C78" i="25"/>
  <c r="F78" i="25" s="1" a="1"/>
  <c r="F78" i="25" s="1"/>
  <c r="Q77" i="25"/>
  <c r="P77" i="25"/>
  <c r="I77" i="25"/>
  <c r="C77" i="25"/>
  <c r="P76" i="25"/>
  <c r="Q76" i="25" s="1"/>
  <c r="I76" i="25"/>
  <c r="F76" i="25" a="1"/>
  <c r="F76" i="25" s="1"/>
  <c r="D76" i="25"/>
  <c r="C76" i="25"/>
  <c r="P75" i="25"/>
  <c r="Q75" i="25" s="1"/>
  <c r="I75" i="25"/>
  <c r="D75" i="25"/>
  <c r="C75" i="25"/>
  <c r="F75" i="25" s="1" a="1"/>
  <c r="F75" i="25" s="1"/>
  <c r="P74" i="25"/>
  <c r="Q74" i="25" s="1"/>
  <c r="I74" i="25"/>
  <c r="C74" i="25"/>
  <c r="Q73" i="25"/>
  <c r="P73" i="25"/>
  <c r="I73" i="25"/>
  <c r="F73" i="25" a="1"/>
  <c r="F73" i="25" s="1"/>
  <c r="D73" i="25"/>
  <c r="C73" i="25"/>
  <c r="P72" i="25"/>
  <c r="Q72" i="25" s="1"/>
  <c r="I72" i="25"/>
  <c r="F72" i="25"/>
  <c r="F72" i="25" a="1"/>
  <c r="D72" i="25"/>
  <c r="C72" i="25"/>
  <c r="P71" i="25"/>
  <c r="Q71" i="25" s="1"/>
  <c r="I71" i="25"/>
  <c r="F71" i="25" a="1"/>
  <c r="F71" i="25" s="1"/>
  <c r="C71" i="25"/>
  <c r="D71" i="25" s="1"/>
  <c r="Q70" i="25"/>
  <c r="P70" i="25"/>
  <c r="I70" i="25"/>
  <c r="C70" i="25"/>
  <c r="F70" i="25" s="1" a="1"/>
  <c r="F70" i="25" s="1"/>
  <c r="Q69" i="25"/>
  <c r="P69" i="25"/>
  <c r="I69" i="25"/>
  <c r="F69" i="25" a="1"/>
  <c r="F69" i="25" s="1"/>
  <c r="C69" i="25"/>
  <c r="D69" i="25" s="1"/>
  <c r="P68" i="25"/>
  <c r="Q68" i="25" s="1"/>
  <c r="I68" i="25"/>
  <c r="F68" i="25" a="1"/>
  <c r="F68" i="25" s="1"/>
  <c r="D68" i="25"/>
  <c r="C68" i="25"/>
  <c r="Q67" i="25"/>
  <c r="P67" i="25"/>
  <c r="I67" i="25"/>
  <c r="D67" i="25"/>
  <c r="C67" i="25"/>
  <c r="F67" i="25" s="1" a="1"/>
  <c r="F67" i="25" s="1"/>
  <c r="P66" i="25"/>
  <c r="Q66" i="25" s="1"/>
  <c r="I66" i="25"/>
  <c r="C66" i="25"/>
  <c r="Q65" i="25"/>
  <c r="P65" i="25"/>
  <c r="I65" i="25"/>
  <c r="F65" i="25" a="1"/>
  <c r="F65" i="25" s="1"/>
  <c r="D65" i="25"/>
  <c r="C65" i="25"/>
  <c r="Q64" i="25"/>
  <c r="P64" i="25"/>
  <c r="I64" i="25"/>
  <c r="F64" i="25"/>
  <c r="F64" i="25" a="1"/>
  <c r="D64" i="25"/>
  <c r="C64" i="25"/>
  <c r="P63" i="25"/>
  <c r="Q63" i="25" s="1"/>
  <c r="I63" i="25"/>
  <c r="C63" i="25"/>
  <c r="F63" i="25" s="1" a="1"/>
  <c r="F63" i="25" s="1"/>
  <c r="Q62" i="25"/>
  <c r="P62" i="25"/>
  <c r="I62" i="25"/>
  <c r="F62" i="25"/>
  <c r="D62" i="25"/>
  <c r="C62" i="25"/>
  <c r="F62" i="25" s="1" a="1"/>
  <c r="Q61" i="25"/>
  <c r="P61" i="25"/>
  <c r="I61" i="25"/>
  <c r="C61" i="25"/>
  <c r="D61" i="25" s="1"/>
  <c r="Q60" i="25"/>
  <c r="P60" i="25"/>
  <c r="I60" i="25"/>
  <c r="F60" i="25" a="1"/>
  <c r="F60" i="25" s="1"/>
  <c r="D60" i="25"/>
  <c r="C60" i="25"/>
  <c r="P59" i="25"/>
  <c r="Q59" i="25" s="1"/>
  <c r="I59" i="25"/>
  <c r="D59" i="25"/>
  <c r="C59" i="25"/>
  <c r="F59" i="25" s="1" a="1"/>
  <c r="F59" i="25" s="1"/>
  <c r="P58" i="25"/>
  <c r="Q58" i="25" s="1"/>
  <c r="I58" i="25"/>
  <c r="C58" i="25"/>
  <c r="Q57" i="25"/>
  <c r="P57" i="25"/>
  <c r="I57" i="25"/>
  <c r="F57" i="25" a="1"/>
  <c r="F57" i="25" s="1"/>
  <c r="D57" i="25"/>
  <c r="C57" i="25"/>
  <c r="P56" i="25"/>
  <c r="Q56" i="25" s="1"/>
  <c r="I56" i="25"/>
  <c r="F56" i="25" a="1"/>
  <c r="F56" i="25" s="1"/>
  <c r="D56" i="25"/>
  <c r="C56" i="25"/>
  <c r="P55" i="25"/>
  <c r="Q55" i="25" s="1"/>
  <c r="I55" i="25"/>
  <c r="F55" i="25" a="1"/>
  <c r="F55" i="25" s="1"/>
  <c r="D55" i="25"/>
  <c r="C55" i="25"/>
  <c r="Q54" i="25"/>
  <c r="P54" i="25"/>
  <c r="I54" i="25"/>
  <c r="C54" i="25"/>
  <c r="F54" i="25" s="1" a="1"/>
  <c r="F54" i="25" s="1"/>
  <c r="Q53" i="25"/>
  <c r="P53" i="25"/>
  <c r="I53" i="25"/>
  <c r="C53" i="25"/>
  <c r="D53" i="25" s="1"/>
  <c r="P52" i="25"/>
  <c r="Q52" i="25" s="1"/>
  <c r="I52" i="25"/>
  <c r="F52" i="25" a="1"/>
  <c r="F52" i="25" s="1"/>
  <c r="D52" i="25"/>
  <c r="C52" i="25"/>
  <c r="P51" i="25"/>
  <c r="Q51" i="25" s="1"/>
  <c r="I51" i="25"/>
  <c r="C51" i="25"/>
  <c r="F51" i="25" s="1" a="1"/>
  <c r="F51" i="25" s="1"/>
  <c r="P50" i="25"/>
  <c r="Q50" i="25" s="1"/>
  <c r="I50" i="25"/>
  <c r="C50" i="25"/>
  <c r="Q49" i="25"/>
  <c r="P49" i="25"/>
  <c r="I49" i="25"/>
  <c r="F49" i="25"/>
  <c r="F49" i="25" a="1"/>
  <c r="D49" i="25"/>
  <c r="C49" i="25"/>
  <c r="P48" i="25"/>
  <c r="Q48" i="25" s="1"/>
  <c r="I48" i="25"/>
  <c r="F48" i="25" a="1"/>
  <c r="F48" i="25" s="1"/>
  <c r="D48" i="25"/>
  <c r="C48" i="25"/>
  <c r="P47" i="25"/>
  <c r="Q47" i="25" s="1"/>
  <c r="I47" i="25"/>
  <c r="C47" i="25"/>
  <c r="F47" i="25" s="1" a="1"/>
  <c r="F47" i="25" s="1"/>
  <c r="Q46" i="25"/>
  <c r="P46" i="25"/>
  <c r="I46" i="25"/>
  <c r="F46" i="25"/>
  <c r="C46" i="25"/>
  <c r="F46" i="25" s="1" a="1"/>
  <c r="P45" i="25"/>
  <c r="Q45" i="25" s="1"/>
  <c r="I45" i="25"/>
  <c r="C45" i="25"/>
  <c r="D45" i="25" s="1"/>
  <c r="P44" i="25"/>
  <c r="Q44" i="25" s="1"/>
  <c r="I44" i="25"/>
  <c r="F44" i="25" a="1"/>
  <c r="F44" i="25" s="1"/>
  <c r="D44" i="25"/>
  <c r="C44" i="25"/>
  <c r="P43" i="25"/>
  <c r="Q43" i="25" s="1"/>
  <c r="I43" i="25"/>
  <c r="C43" i="25"/>
  <c r="F43" i="25" s="1" a="1"/>
  <c r="F43" i="25" s="1"/>
  <c r="P42" i="25"/>
  <c r="Q42" i="25" s="1"/>
  <c r="I42" i="25"/>
  <c r="F42" i="25" a="1"/>
  <c r="F42" i="25" s="1"/>
  <c r="C42" i="25"/>
  <c r="D42" i="25" s="1"/>
  <c r="Q41" i="25"/>
  <c r="P41" i="25"/>
  <c r="I41" i="25"/>
  <c r="F41" i="25"/>
  <c r="F41" i="25" a="1"/>
  <c r="D41" i="25"/>
  <c r="C41" i="25"/>
  <c r="P40" i="25"/>
  <c r="Q40" i="25" s="1"/>
  <c r="I40" i="25"/>
  <c r="F40" i="25" a="1"/>
  <c r="F40" i="25" s="1"/>
  <c r="D40" i="25"/>
  <c r="C40" i="25"/>
  <c r="P39" i="25"/>
  <c r="Q39" i="25" s="1"/>
  <c r="I39" i="25"/>
  <c r="C39" i="25"/>
  <c r="F39" i="25" s="1" a="1"/>
  <c r="F39" i="25" s="1"/>
  <c r="Q38" i="25"/>
  <c r="P38" i="25"/>
  <c r="I38" i="25"/>
  <c r="F38" i="25"/>
  <c r="C38" i="25"/>
  <c r="F38" i="25" s="1" a="1"/>
  <c r="P37" i="25"/>
  <c r="Q37" i="25" s="1"/>
  <c r="I37" i="25"/>
  <c r="C37" i="25"/>
  <c r="D37" i="25" s="1"/>
  <c r="P36" i="25"/>
  <c r="Q36" i="25" s="1"/>
  <c r="I36" i="25"/>
  <c r="F36" i="25" a="1"/>
  <c r="F36" i="25" s="1"/>
  <c r="D36" i="25"/>
  <c r="C36" i="25"/>
  <c r="P35" i="25"/>
  <c r="Q35" i="25" s="1"/>
  <c r="I35" i="25"/>
  <c r="C35" i="25"/>
  <c r="F35" i="25" s="1" a="1"/>
  <c r="F35" i="25" s="1"/>
  <c r="P34" i="25"/>
  <c r="Q34" i="25" s="1"/>
  <c r="I34" i="25"/>
  <c r="F34" i="25" a="1"/>
  <c r="F34" i="25" s="1"/>
  <c r="C34" i="25"/>
  <c r="D34" i="25" s="1"/>
  <c r="Q33" i="25"/>
  <c r="P33" i="25"/>
  <c r="I33" i="25"/>
  <c r="F33" i="25"/>
  <c r="F33" i="25" a="1"/>
  <c r="D33" i="25"/>
  <c r="C33" i="25"/>
  <c r="P32" i="25"/>
  <c r="Q32" i="25" s="1"/>
  <c r="I32" i="25"/>
  <c r="F32" i="25" a="1"/>
  <c r="F32" i="25" s="1"/>
  <c r="D32" i="25"/>
  <c r="C32" i="25"/>
  <c r="P31" i="25"/>
  <c r="Q31" i="25" s="1"/>
  <c r="I31" i="25"/>
  <c r="C31" i="25"/>
  <c r="F31" i="25" s="1" a="1"/>
  <c r="F31" i="25" s="1"/>
  <c r="Q30" i="25"/>
  <c r="P30" i="25"/>
  <c r="I30" i="25"/>
  <c r="F30" i="25"/>
  <c r="C30" i="25"/>
  <c r="F30" i="25" s="1" a="1"/>
  <c r="P29" i="25"/>
  <c r="Q29" i="25" s="1"/>
  <c r="I29" i="25"/>
  <c r="C29" i="25"/>
  <c r="D29" i="25" s="1"/>
  <c r="P28" i="25"/>
  <c r="Q28" i="25" s="1"/>
  <c r="I28" i="25"/>
  <c r="F28" i="25" a="1"/>
  <c r="F28" i="25" s="1"/>
  <c r="D28" i="25"/>
  <c r="C28" i="25"/>
  <c r="P27" i="25"/>
  <c r="Q27" i="25" s="1"/>
  <c r="I27" i="25"/>
  <c r="C27" i="25"/>
  <c r="F27" i="25" s="1" a="1"/>
  <c r="F27" i="25" s="1"/>
  <c r="P26" i="25"/>
  <c r="Q26" i="25" s="1"/>
  <c r="I26" i="25"/>
  <c r="F26" i="25" a="1"/>
  <c r="F26" i="25" s="1"/>
  <c r="C26" i="25"/>
  <c r="D26" i="25" s="1"/>
  <c r="Q25" i="25"/>
  <c r="P25" i="25"/>
  <c r="I25" i="25"/>
  <c r="F25" i="25"/>
  <c r="F25" i="25" a="1"/>
  <c r="D25" i="25"/>
  <c r="C25" i="25"/>
  <c r="P24" i="25"/>
  <c r="Q24" i="25" s="1"/>
  <c r="I24" i="25"/>
  <c r="F24" i="25" a="1"/>
  <c r="F24" i="25" s="1"/>
  <c r="D24" i="25"/>
  <c r="C24" i="25"/>
  <c r="P23" i="25"/>
  <c r="Q23" i="25" s="1"/>
  <c r="I23" i="25"/>
  <c r="C23" i="25"/>
  <c r="F23" i="25" s="1" a="1"/>
  <c r="F23" i="25" s="1"/>
  <c r="Q22" i="25"/>
  <c r="P22" i="25"/>
  <c r="I22" i="25"/>
  <c r="F22" i="25"/>
  <c r="C22" i="25"/>
  <c r="F22" i="25" s="1" a="1"/>
  <c r="P21" i="25"/>
  <c r="Q21" i="25" s="1"/>
  <c r="I21" i="25"/>
  <c r="C21" i="25"/>
  <c r="D21" i="25" s="1"/>
  <c r="P20" i="25"/>
  <c r="Q20" i="25" s="1"/>
  <c r="I20" i="25"/>
  <c r="F20" i="25" a="1"/>
  <c r="F20" i="25" s="1"/>
  <c r="D20" i="25"/>
  <c r="C20" i="25"/>
  <c r="P19" i="25"/>
  <c r="Q19" i="25" s="1"/>
  <c r="I19" i="25"/>
  <c r="C19" i="25"/>
  <c r="F19" i="25" s="1" a="1"/>
  <c r="F19" i="25" s="1"/>
  <c r="P18" i="25"/>
  <c r="Q18" i="25" s="1"/>
  <c r="I18" i="25"/>
  <c r="F18" i="25" a="1"/>
  <c r="F18" i="25" s="1"/>
  <c r="C18" i="25"/>
  <c r="D18" i="25" s="1"/>
  <c r="P17" i="25"/>
  <c r="Q17" i="25" s="1"/>
  <c r="I17" i="25"/>
  <c r="Q16" i="25"/>
  <c r="P16" i="25"/>
  <c r="I16" i="25"/>
  <c r="P15" i="25"/>
  <c r="Q15" i="25" s="1"/>
  <c r="I15" i="25"/>
  <c r="P14" i="25"/>
  <c r="Q14" i="25" s="1"/>
  <c r="I14" i="25"/>
  <c r="P13" i="25"/>
  <c r="Q13" i="25" s="1"/>
  <c r="I13" i="25"/>
  <c r="Q12" i="25"/>
  <c r="P12" i="25"/>
  <c r="I12" i="25"/>
  <c r="Q11" i="25"/>
  <c r="P11" i="25"/>
  <c r="I11" i="25"/>
  <c r="Q10" i="25"/>
  <c r="P10" i="25"/>
  <c r="I10" i="25"/>
  <c r="P9" i="25"/>
  <c r="Q9" i="25" s="1"/>
  <c r="I9" i="25"/>
  <c r="Q8" i="25"/>
  <c r="P8" i="25"/>
  <c r="I8" i="25"/>
  <c r="P7" i="25"/>
  <c r="Q7" i="25" s="1"/>
  <c r="I7" i="25"/>
  <c r="P6" i="25"/>
  <c r="Q6" i="25" s="1"/>
  <c r="I6" i="25"/>
  <c r="C98" i="10"/>
  <c r="F98" i="10" s="1" a="1"/>
  <c r="F98" i="10" s="1"/>
  <c r="I98" i="10"/>
  <c r="L98" i="10"/>
  <c r="M98" i="10"/>
  <c r="P98" i="10"/>
  <c r="Q98" i="10" s="1"/>
  <c r="F53" i="26" l="1" a="1"/>
  <c r="F53" i="26" s="1"/>
  <c r="D53" i="26"/>
  <c r="F82" i="25" a="1"/>
  <c r="F82" i="25" s="1"/>
  <c r="D82" i="25"/>
  <c r="F40" i="26" a="1"/>
  <c r="F40" i="26" s="1"/>
  <c r="D40" i="26"/>
  <c r="D19" i="25"/>
  <c r="D23" i="25"/>
  <c r="D27" i="25"/>
  <c r="D31" i="25"/>
  <c r="D35" i="25"/>
  <c r="D39" i="25"/>
  <c r="D43" i="25"/>
  <c r="D47" i="25"/>
  <c r="D54" i="25"/>
  <c r="F58" i="25" a="1"/>
  <c r="F58" i="25" s="1"/>
  <c r="D58" i="25"/>
  <c r="F61" i="25" a="1"/>
  <c r="F61" i="25" s="1"/>
  <c r="D87" i="25"/>
  <c r="F93" i="25" a="1"/>
  <c r="F93" i="25" s="1"/>
  <c r="D93" i="25"/>
  <c r="D19" i="26"/>
  <c r="D20" i="26"/>
  <c r="F29" i="26" a="1"/>
  <c r="F29" i="26" s="1"/>
  <c r="D29" i="26"/>
  <c r="D51" i="26"/>
  <c r="D52" i="26"/>
  <c r="F61" i="26" a="1"/>
  <c r="F61" i="26" s="1"/>
  <c r="D61" i="26"/>
  <c r="F21" i="26" a="1"/>
  <c r="F21" i="26" s="1"/>
  <c r="D21" i="26"/>
  <c r="F16" i="26" a="1"/>
  <c r="F16" i="26" s="1"/>
  <c r="D16" i="26"/>
  <c r="F48" i="26" a="1"/>
  <c r="F48" i="26" s="1"/>
  <c r="D48" i="26"/>
  <c r="D51" i="25"/>
  <c r="F90" i="25" a="1"/>
  <c r="F90" i="25" s="1"/>
  <c r="D90" i="25"/>
  <c r="D22" i="25"/>
  <c r="D30" i="25"/>
  <c r="D38" i="25"/>
  <c r="D46" i="25"/>
  <c r="F50" i="25" a="1"/>
  <c r="F50" i="25" s="1"/>
  <c r="D50" i="25"/>
  <c r="F53" i="25" a="1"/>
  <c r="F53" i="25" s="1"/>
  <c r="D28" i="26"/>
  <c r="F37" i="26" a="1"/>
  <c r="F37" i="26" s="1"/>
  <c r="D37" i="26"/>
  <c r="D60" i="26"/>
  <c r="F69" i="26" a="1"/>
  <c r="F69" i="26" s="1"/>
  <c r="D69" i="26"/>
  <c r="F85" i="25" a="1"/>
  <c r="F85" i="25" s="1"/>
  <c r="D85" i="25"/>
  <c r="F98" i="25" a="1"/>
  <c r="F98" i="25" s="1"/>
  <c r="D98" i="25"/>
  <c r="F24" i="26" a="1"/>
  <c r="F24" i="26" s="1"/>
  <c r="D24" i="26"/>
  <c r="F56" i="26" a="1"/>
  <c r="F56" i="26" s="1"/>
  <c r="D56" i="26"/>
  <c r="F66" i="25" a="1"/>
  <c r="F66" i="25" s="1"/>
  <c r="D66" i="25"/>
  <c r="F77" i="25" a="1"/>
  <c r="F77" i="25" s="1"/>
  <c r="D77" i="25"/>
  <c r="F21" i="25" a="1"/>
  <c r="F21" i="25" s="1"/>
  <c r="F29" i="25" a="1"/>
  <c r="F29" i="25" s="1"/>
  <c r="F37" i="25" a="1"/>
  <c r="F37" i="25" s="1"/>
  <c r="F45" i="25" a="1"/>
  <c r="F45" i="25" s="1"/>
  <c r="D63" i="25"/>
  <c r="D70" i="25"/>
  <c r="F74" i="25" a="1"/>
  <c r="F74" i="25" s="1"/>
  <c r="D74" i="25"/>
  <c r="D86" i="25"/>
  <c r="D35" i="26"/>
  <c r="D36" i="26"/>
  <c r="F45" i="26" a="1"/>
  <c r="F45" i="26" s="1"/>
  <c r="D45" i="26"/>
  <c r="D67" i="26"/>
  <c r="D68" i="26"/>
  <c r="F77" i="26" a="1"/>
  <c r="F77" i="26" s="1"/>
  <c r="D77" i="26"/>
  <c r="F85" i="26" a="1"/>
  <c r="F85" i="26" s="1"/>
  <c r="D85" i="26"/>
  <c r="F93" i="26" a="1"/>
  <c r="F93" i="26" s="1"/>
  <c r="D93" i="26"/>
  <c r="F32" i="26" a="1"/>
  <c r="F32" i="26" s="1"/>
  <c r="D32" i="26"/>
  <c r="F64" i="26" a="1"/>
  <c r="F64" i="26" s="1"/>
  <c r="D64" i="26"/>
  <c r="D100" i="26"/>
  <c r="D95" i="26"/>
  <c r="D72" i="26"/>
  <c r="D80" i="26"/>
  <c r="D88" i="26"/>
  <c r="D96" i="26"/>
  <c r="D98" i="10"/>
  <c r="B11"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6" i="24"/>
  <c r="B14"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3" i="24"/>
  <c r="B15" i="24"/>
  <c r="B18" i="24"/>
  <c r="B19" i="24"/>
  <c r="B20" i="24"/>
  <c r="B21" i="24"/>
  <c r="B22" i="24"/>
  <c r="B23" i="24"/>
  <c r="B24" i="24"/>
  <c r="B25" i="24"/>
  <c r="B26" i="24"/>
  <c r="B27" i="24"/>
  <c r="B28" i="24"/>
  <c r="B29" i="24"/>
  <c r="B30" i="24"/>
  <c r="B31" i="24"/>
  <c r="B32" i="24"/>
  <c r="B33" i="24"/>
  <c r="B34" i="24"/>
  <c r="B35" i="24"/>
  <c r="B38" i="24"/>
  <c r="B17"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<sst xmlns="http://schemas.openxmlformats.org/spreadsheetml/2006/main" count="901" uniqueCount="340">
  <si>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</si>
  <si>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</si>
  <si>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</si>
  <si>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</si>
  <si>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</si>
  <si>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</si>
  <si>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</si>
  <si>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</si>
  <si>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</si>
  <si>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</si>
  <si>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</si>
  <si>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</si>
  <si>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</si>
  <si>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</si>
  <si>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</si>
  <si>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</si>
  <si>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</si>
  <si>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</si>
  <si>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</si>
  <si>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</si>
  <si>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</si>
  <si>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</si>
  <si>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</si>
  <si>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</si>
  <si>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</si>
  <si>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</si>
  <si>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</si>
  <si>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</si>
  <si>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</si>
  <si>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</si>
  <si>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</si>
  <si>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</si>
  <si>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</si>
  <si>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</si>
  <si>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</si>
  <si>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</si>
  <si>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</si>
  <si>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</si>
  <si>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</si>
  <si>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</si>
  <si>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</si>
  <si>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</si>
  <si>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</si>
  <si>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</si>
  <si>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</si>
  <si>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</si>
  <si>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</si>
  <si>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</si>
  <si>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</si>
  <si>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</si>
  <si>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</si>
  <si>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</si>
  <si>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</si>
  <si>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</si>
  <si>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</si>
  <si>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</si>
  <si>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</si>
  <si>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</si>
  <si>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</si>
  <si>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</si>
  <si>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</si>
  <si>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</si>
  <si>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</si>
  <si>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</si>
  <si>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</si>
  <si>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</si>
  <si>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</si>
  <si>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</si>
  <si>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</si>
  <si>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</si>
  <si>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</si>
  <si>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</si>
  <si>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</si>
  <si>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</si>
  <si>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</si>
  <si>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</si>
  <si>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</si>
  <si>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</si>
  <si>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</si>
  <si>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</si>
  <si>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</si>
  <si>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</si>
  <si>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</si>
  <si>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</si>
  <si>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</si>
  <si>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</si>
  <si>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</si>
  <si>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</si>
  <si>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</si>
  <si>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</si>
  <si>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</si>
  <si>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</si>
  <si>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</si>
  <si>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</si>
  <si>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</si>
  <si>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</si>
  <si>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</si>
  <si>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</si>
  <si>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</si>
  <si>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</si>
  <si>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</si>
  <si>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</si>
  <si>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</si>
  <si>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</si>
  <si>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</si>
  <si>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</si>
  <si>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</si>
  <si>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</si>
  <si>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</si>
  <si>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</si>
  <si>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</si>
  <si>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</si>
  <si>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</si>
  <si>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</si>
  <si>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</si>
  <si>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</si>
  <si>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</si>
  <si>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</si>
  <si>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</si>
  <si>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</si>
  <si>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</si>
  <si>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</si>
  <si>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</si>
  <si>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</si>
  <si>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</si>
  <si>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</si>
  <si>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</si>
  <si>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</si>
  <si>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</si>
  <si>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</si>
  <si>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</si>
  <si>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</si>
  <si>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</si>
  <si>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</si>
  <si>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</si>
  <si>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</si>
  <si>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</si>
  <si>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</si>
  <si>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</si>
  <si>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</si>
  <si>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</si>
  <si>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</si>
  <si>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</si>
  <si>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</si>
  <si>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</si>
  <si>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</si>
  <si>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</si>
  <si>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</si>
  <si>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</si>
  <si>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</si>
  <si>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</si>
  <si>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</si>
  <si>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</si>
  <si>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</si>
  <si>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</si>
  <si>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</si>
  <si>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</si>
  <si>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</si>
  <si>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</si>
  <si>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</si>
  <si>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</si>
  <si>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</si>
  <si>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</si>
  <si>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</si>
  <si>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</si>
  <si>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</si>
  <si>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</si>
  <si>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</si>
  <si>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</si>
  <si>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</si>
  <si>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</si>
  <si>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</si>
  <si>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</si>
  <si>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</si>
  <si>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</si>
  <si>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</si>
  <si>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</si>
  <si>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</si>
  <si>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</si>
  <si>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</si>
  <si>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</si>
  <si>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</si>
  <si>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</si>
  <si>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</si>
  <si>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</si>
  <si>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</si>
  <si>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</si>
  <si>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</si>
  <si>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</si>
  <si>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</si>
  <si>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</si>
  <si>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</si>
  <si>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</si>
  <si>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</si>
  <si>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</si>
  <si>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</si>
  <si>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</si>
  <si>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</si>
  <si>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</si>
  <si>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</si>
  <si>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</si>
  <si>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</si>
  <si>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</si>
  <si>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</si>
  <si>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</si>
  <si>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</si>
  <si>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</si>
  <si>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</si>
  <si>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</si>
  <si>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</si>
  <si>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</si>
  <si>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</si>
  <si>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</si>
  <si>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</si>
  <si>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</si>
  <si>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</si>
  <si>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</si>
  <si>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</si>
  <si>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</si>
  <si>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</si>
  <si>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</si>
  <si>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</si>
  <si>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</si>
  <si>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</si>
  <si>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</si>
  <si>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</si>
  <si>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</si>
  <si>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</si>
  <si>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</si>
  <si>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</si>
  <si>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</si>
  <si>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</si>
  <si>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</si>
  <si>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</si>
  <si>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</si>
  <si>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</si>
  <si>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</si>
  <si>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</si>
  <si>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</si>
  <si>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</si>
  <si>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</si>
  <si>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</si>
  <si>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</si>
  <si>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</si>
  <si>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</si>
  <si>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</si>
  <si>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</si>
  <si>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</si>
  <si>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</si>
  <si>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</si>
  <si>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</si>
  <si>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</si>
  <si>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</si>
  <si>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</si>
  <si>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</si>
  <si>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</si>
  <si>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</si>
  <si>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</si>
  <si>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</si>
  <si>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</si>
  <si>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</si>
  <si>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</si>
  <si>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</si>
  <si>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</si>
  <si>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</si>
  <si>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</si>
  <si>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</si>
  <si>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</si>
  <si>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</si>
  <si>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</si>
  <si>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</si>
  <si>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</si>
  <si>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</si>
  <si>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</si>
  <si>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</si>
  <si>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</si>
  <si>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</si>
  <si>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</si>
  <si>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</si>
  <si>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</si>
  <si>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</si>
  <si>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</si>
  <si>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</si>
  <si>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</si>
  <si>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</si>
  <si>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</si>
  <si>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</si>
  <si>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</si>
  <si>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</si>
  <si>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</si>
  <si>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</si>
  <si>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</si>
  <si>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</si>
  <si>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</si>
  <si>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</si>
  <si>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</si>
  <si>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</si>
  <si>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</si>
  <si>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</si>
  <si>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</si>
  <si>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</si>
  <si>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</si>
  <si>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</si>
  <si>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</si>
  <si>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</si>
  <si>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</si>
  <si>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</si>
  <si>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</si>
  <si>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</si>
  <si>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</si>
  <si>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</si>
  <si>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</si>
  <si>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</si>
  <si>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</si>
  <si>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</si>
  <si>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</si>
  <si>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</si>
  <si>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</si>
  <si>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</si>
  <si>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</si>
  <si>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</si>
  <si>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</si>
  <si>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</si>
  <si>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</si>
  <si>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</si>
  <si>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</si>
  <si>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</si>
  <si>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</si>
  <si>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</si>
  <si>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</si>
  <si>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</si>
  <si>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</si>
  <si>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</si>
  <si>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</si>
  <si>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</si>
  <si>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</si>
  <si>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</si>
  <si>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</si>
  <si>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HTL</t>
  </si>
  <si>
    <t>CO2 sequestered in landfilled CaCO3.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</si>
</sst>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F400]h:mm:ss\ AM/PM"/>
    <numFmt numFmtId="165" formatCode="_(* #,##0_);_(* \(#,##0\);_(* &quot;-&quot;??_);_(@_)"/>
    <numFmt numFmtId="166" formatCode="#,##0.0"/>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2">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63">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cellXfs>
  <cellStyles count="3">
    <cellStyle name="Comma" xfId="1" builtinId="3"/>
    <cellStyle name="Normal" xfId="0" builtinId="0"/>
    <cellStyle name="Percent" xfId="2" builtinId="5"/>
  </cellStyles>
  <dxfs count="106">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1879600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700-000001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105" dataDxfId="104" tableBorderDxfId="103" dataCellStyle="Percent">
  <autoFilter ref="A5:T100" xr:uid="{1644AED8-49DE-4A1D-989C-1566C9A522B9}"/>
  <tableColumns count="20">
    <tableColumn id="1" xr3:uid="{3C4E83C1-4DAF-4B93-AE9A-B658DBA43631}" name="Type" dataDxfId="102"/>
    <tableColumn id="2" xr3:uid="{7AC9B54E-C457-49EC-A7D6-0ED656B6CFE9}" name="Category" dataDxfId="101"/>
    <tableColumn id="3" xr3:uid="{350F9A14-F368-49FE-AF21-19555EB999FB}" name="Resource" dataDxfId="100">
      <calculatedColumnFormula>_xlfn.XLOOKUP($B6,'SI - Resources'!$A$1:$J$1,'SI - Resources'!$A$2:$J$2, "")</calculatedColumnFormula>
    </tableColumn>
    <tableColumn id="4" xr3:uid="{A0B55D89-6640-4C29-88AC-93188C5097C5}" name="End Use" dataDxfId="99">
      <calculatedColumnFormula>IF(_xlfn.XLOOKUP($C6,'SI - End Use'!$B$2:$B$6,'SI - End Use'!$C$2:$C$6, "")="", "", _xlfn.XLOOKUP($C6,'SI - End Use'!$B$2:$B$6,'SI - End Use'!$C$2:$C$6, ""))</calculatedColumnFormula>
    </tableColumn>
    <tableColumn id="5" xr3:uid="{5ADDDF1D-4510-4428-A882-8D5C8F52BE8C}" name="Amount" dataDxfId="98" dataCellStyle="Comma"/>
    <tableColumn id="6" xr3:uid="{341D427F-5F42-4F22-98AD-9D6883E4330B}" name="Unit" dataDxfId="97">
      <calculatedColumnFormula array="1">IF($B6="Transportation",  'SI - Units'!$B$9:$B$9, _xlfn.XLOOKUP(_xlfn.XLOOKUP($C6,'SI - Units'!$B$24:$B$109,'SI - Units'!$C$24:$C$109, ""),'SI - Units'!$A$2:$A$8,'SI - Units'!$B$2:$B$8, ""))</calculatedColumnFormula>
    </tableColumn>
    <tableColumn id="7" xr3:uid="{515C4DB0-B187-40B1-8F47-45FF3483AEC1}" name="Moisture" dataDxfId="96" dataCellStyle="Percent"/>
    <tableColumn id="8" xr3:uid="{294BC856-42BB-4049-BD49-6A865E88E771}" name="Previous Stage" dataDxfId="95" dataCellStyle="Percent"/>
    <tableColumn id="9" xr3:uid="{CDA23678-EB57-4035-9101-F29AA45C63EE}" name="Always Use Displacement Method for Co-Product?" dataDxfId="94" dataCellStyle="Percent">
      <calculatedColumnFormula>IF(Table1[[#This Row],[Type]]="Co-product", "No", "")</calculatedColumnFormula>
    </tableColumn>
    <tableColumn id="19" xr3:uid="{9ACBBA67-4B7F-43A7-9CF8-0FBB7B61A832}" name="Urban Share" dataDxfId="93" dataCellStyle="Percent"/>
    <tableColumn id="10" xr3:uid="{0E5BF4B8-8667-40EE-B9EF-BC9E06D72AAB}" name="Product Train" dataDxfId="92"/>
    <tableColumn id="14" xr3:uid="{D99A9C54-A8C3-4803-A70D-4659D5193A9A}" name="Payload" dataDxfId="91">
      <calculatedColumnFormula>IF(Table1[[#This Row],[Category]]="Transportation", _xlfn.XLOOKUP(Table1[[#This Row],[Resource]], 'SI - Payload'!$A$10:$A$38,'SI - Payload'!$B$10:$B$38,"",0), "")</calculatedColumnFormula>
    </tableColumn>
    <tableColumn id="15" xr3:uid="{3BF278AE-6D04-4ABA-AACE-E651957B5676}" name="Payload Unit" dataDxfId="90">
      <calculatedColumnFormula>IF(Table1[[#This Row],[Category]]="Transportation", "ton", "")</calculatedColumnFormula>
    </tableColumn>
    <tableColumn id="16" xr3:uid="{B4587E16-116C-48C2-B897-34EA45D2B5E2}" name="Market Price" dataDxfId="89"/>
    <tableColumn id="17" xr3:uid="{CFF030DD-8740-4448-85CE-69419CA7344D}" name="Market Price Unit" dataDxfId="88"/>
    <tableColumn id="12" xr3:uid="{0A5A1CE9-5C17-482C-ACCA-BB3BA789761E}" name="Incumbent Product" dataDxfId="87">
      <calculatedColumnFormula>IF(OR(Table1[[#This Row],[Type]]="Main Product", Table1[[#This Row],[Type]]="Co-Product"), Table1[[#This Row],[Resource]], "")</calculatedColumnFormula>
    </tableColumn>
    <tableColumn id="13" xr3:uid="{A8C514D4-4EE9-4BFC-A5D9-1A3B1C61CAF3}" name="End Use of Incumbent Product" dataDxfId="86">
      <calculatedColumnFormula>IF(_xlfn.XLOOKUP($P6,'SI - End Use'!$B$2:$B$6,'SI - End Use'!$C$2:$C$6, "")="", "", _xlfn.XLOOKUP($C6,'SI - End Use'!$B$2:$B$6,'SI - End Use'!$C$2:$C$6, ""))</calculatedColumnFormula>
    </tableColumn>
    <tableColumn id="20" xr3:uid="{3D510D5D-99B7-4EB4-8590-3620FE598E5C}" name="Surrogate For" dataDxfId="85"/>
    <tableColumn id="18" xr3:uid="{1AFBF91D-E45D-442D-BA06-D58B0AE7953E}" name="Process" dataDxfId="84"/>
    <tableColumn id="11" xr3:uid="{34D8D993-53F9-46B7-8FE9-32F1A6F2DFD2}" name="Note" dataDxfId="8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82" dataDxfId="81">
  <autoFilter ref="A1:K53" xr:uid="{BF352F56-F627-4A8D-9B22-DA497E2644FC}"/>
  <tableColumns count="11">
    <tableColumn id="1" xr3:uid="{B4C1BEA4-EC08-4542-9BC0-5CAC3303F1DE}" name="Biomass" dataDxfId="80"/>
    <tableColumn id="8" xr3:uid="{CA09F49F-4D37-4D57-9F64-66042BBFCAF3}" name="Waste" dataDxfId="79"/>
    <tableColumn id="2" xr3:uid="{16936180-7E0F-4E08-BEC7-75346859C647}" name="Process fuel" dataDxfId="78"/>
    <tableColumn id="6" xr3:uid="{8ABA29FD-C6B0-4B51-8840-E17193E077EC}" name="Electricity" dataDxfId="77"/>
    <tableColumn id="3" xr3:uid="{C1A34163-30E4-47F2-BE75-A919CC80E9BF}" name="Chemicals and catalysts" dataDxfId="76"/>
    <tableColumn id="4" xr3:uid="{CA7E12F4-CA42-4C30-8167-75EC0AE0646A}" name="Water" dataDxfId="75"/>
    <tableColumn id="9" xr3:uid="{6ADE4401-0F6C-4911-9721-036C8287FC6F}" name="Infrastructure" dataDxfId="74"/>
    <tableColumn id="7" xr3:uid="{C235CCC4-A94E-464B-AE35-96309F90FA7A}" name="Transportation" dataDxfId="73"/>
    <tableColumn id="10" xr3:uid="{C8DE9AE9-442D-497B-B981-79FAEF638C23}" name="Other" dataDxfId="72"/>
    <tableColumn id="5" xr3:uid="{FBD24046-BCD6-418A-8FDF-2918685E10CE}" name="Emissions and sequestration" dataDxfId="71"/>
    <tableColumn id="11" xr3:uid="{B559EE47-EDB5-47AD-9A10-77802A08495D}" name="Placeholder" dataDxfId="7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69"/>
    <tableColumn id="4" xr3:uid="{066E5028-FE97-46DD-94DD-3F5362889CC8}" name="Column4" dataDxfId="68"/>
    <tableColumn id="5" xr3:uid="{518CF11D-9FC1-41DC-A48E-08F72F35ADAA}" name="Column5" dataDxfId="67"/>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66">
  <autoFilter ref="A1:R10" xr:uid="{A38095DD-9874-4EE7-A8C2-2706165CCEBD}"/>
  <tableColumns count="18">
    <tableColumn id="1" xr3:uid="{65B7BBF3-4BCE-43A4-9B03-83AE412598EC}" name="Column1"/>
    <tableColumn id="2" xr3:uid="{FFDF068B-D532-4DC4-904E-48D00A60A52E}" name="Column2" dataDxfId="65"/>
    <tableColumn id="3" xr3:uid="{22885E79-E7D2-4EEE-B0A6-74B1C5779681}" name="Column3" dataDxfId="64"/>
    <tableColumn id="4" xr3:uid="{C1DEFD79-EA05-47FD-8251-B29B3BCC06B2}" name="Column4" dataDxfId="63"/>
    <tableColumn id="5" xr3:uid="{29AEEBB1-E43B-4691-B73C-A8FA6D80443C}" name="Column5" dataDxfId="62"/>
    <tableColumn id="6" xr3:uid="{CC08C1F9-C485-4200-A0F9-C8E59BA65B97}" name="Column6" dataDxfId="61"/>
    <tableColumn id="7" xr3:uid="{6C28381F-6253-4E2E-A800-FF075582292A}" name="Column7" dataDxfId="60"/>
    <tableColumn id="8" xr3:uid="{CA3D0B6B-B24F-4751-A1CE-28D7D0B98174}" name="Column8" dataDxfId="59"/>
    <tableColumn id="9" xr3:uid="{7057E753-ED12-407E-950F-CC59E808A2BF}" name="Column9" dataDxfId="58"/>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57">
  <autoFilter ref="B23:C109" xr:uid="{09147A22-E822-45D3-B3C2-ABDDF48EE5E6}"/>
  <tableColumns count="2">
    <tableColumn id="1" xr3:uid="{CDC0A0AC-3BED-4650-82CE-403A1BF28367}" name="Column1" dataDxfId="56"/>
    <tableColumn id="2" xr3:uid="{B6F8A3B9-3868-4A35-8F6E-BA3E60A1529E}" name="Column2" dataDxfId="55"/>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54">
  <autoFilter ref="A12:R20" xr:uid="{B01EA81C-1645-4ED3-BEC5-6C5396237E43}"/>
  <tableColumns count="18">
    <tableColumn id="1" xr3:uid="{821EE498-6278-4E39-82EF-1F47FBA85A36}" name="Column1"/>
    <tableColumn id="2" xr3:uid="{E81954FF-60B7-4ABD-BC14-40676F73AA3E}" name="Column2" dataDxfId="53">
      <calculatedColumnFormula>IF(B2&lt;&gt;"","$/"&amp;B2, "")</calculatedColumnFormula>
    </tableColumn>
    <tableColumn id="3" xr3:uid="{A15329FC-BC0D-46AE-9A0E-F4CFE0FF184A}" name="Column3" dataDxfId="52">
      <calculatedColumnFormula>IF(C2&lt;&gt;"","$/"&amp;C2, "")</calculatedColumnFormula>
    </tableColumn>
    <tableColumn id="4" xr3:uid="{2197BCF8-40A1-4D22-B05E-D0E1CBFBA215}" name="Column4" dataDxfId="51">
      <calculatedColumnFormula>IF(D2&lt;&gt;"","$/"&amp;D2, "")</calculatedColumnFormula>
    </tableColumn>
    <tableColumn id="5" xr3:uid="{3DAF72F2-745A-4FCF-BD44-BDC825984018}" name="Column5" dataDxfId="50">
      <calculatedColumnFormula>IF(E2&lt;&gt;"","$/"&amp;E2, "")</calculatedColumnFormula>
    </tableColumn>
    <tableColumn id="6" xr3:uid="{820E7353-19C6-4D63-B444-F7CAC7BF01AA}" name="Column6" dataDxfId="49">
      <calculatedColumnFormula>IF(F2&lt;&gt;"","$/"&amp;F2, "")</calculatedColumnFormula>
    </tableColumn>
    <tableColumn id="7" xr3:uid="{91F510E8-B638-43EB-BA78-D4632DA66CD4}" name="Column7" dataDxfId="48">
      <calculatedColumnFormula>IF(G2&lt;&gt;"","$/"&amp;G2, "")</calculatedColumnFormula>
    </tableColumn>
    <tableColumn id="8" xr3:uid="{9CD4EFF6-953E-4257-A2B2-041DCDDBD0BB}" name="Column8" dataDxfId="47">
      <calculatedColumnFormula>IF(H2&lt;&gt;"","$/"&amp;H2, "")</calculatedColumnFormula>
    </tableColumn>
    <tableColumn id="9" xr3:uid="{E1D1E2ED-A567-4428-8C9E-5EE867B5D225}" name="Column9" dataDxfId="46">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5935406-B89F-4F8F-9EAF-A4C45DCBCA23}" name="Table13" displayName="Table13" ref="A5:T100" totalsRowShown="0" headerRowDxfId="45" dataDxfId="44" tableBorderDxfId="43" dataCellStyle="Percent">
  <autoFilter ref="A5:T100" xr:uid="{1644AED8-49DE-4A1D-989C-1566C9A522B9}"/>
  <tableColumns count="20">
    <tableColumn id="1" xr3:uid="{54F9705D-FA12-4199-961E-8DDE3BEC1FF4}" name="Type" dataDxfId="42"/>
    <tableColumn id="2" xr3:uid="{5E06514D-AF5C-4733-B19A-35D0CC7BA125}" name="Category" dataDxfId="41"/>
    <tableColumn id="3" xr3:uid="{69BA6CC3-22B3-4961-B36B-27AC7ED01FF0}" name="Resource" dataDxfId="40">
      <calculatedColumnFormula>_xlfn.XLOOKUP($B6,'SI - Resources'!$A$1:$J$1,'SI - Resources'!$A$2:$J$2, "")</calculatedColumnFormula>
    </tableColumn>
    <tableColumn id="4" xr3:uid="{6DC4DBA1-44C9-4FDA-9E57-3838D825ECFA}" name="End Use" dataDxfId="39">
      <calculatedColumnFormula>IF(_xlfn.XLOOKUP($C6,'SI - End Use'!$B$2:$B$6,'SI - End Use'!$C$2:$C$6, "")="", "", _xlfn.XLOOKUP($C6,'SI - End Use'!$B$2:$B$6,'SI - End Use'!$C$2:$C$6, ""))</calculatedColumnFormula>
    </tableColumn>
    <tableColumn id="5" xr3:uid="{F830743F-BD41-4E61-B70C-392CF3507634}" name="Amount" dataDxfId="38" dataCellStyle="Comma"/>
    <tableColumn id="6" xr3:uid="{01FEC64F-BBBC-45DB-AA85-23184FCA593F}" name="Unit" dataDxfId="37">
      <calculatedColumnFormula array="1">IF($B6="Transportation",  'SI - Units'!$B$9:$B$9, _xlfn.XLOOKUP(_xlfn.XLOOKUP($C6,'SI - Units'!$B$24:$B$109,'SI - Units'!$C$24:$C$109, ""),'SI - Units'!$A$2:$A$8,'SI - Units'!$B$2:$B$8, ""))</calculatedColumnFormula>
    </tableColumn>
    <tableColumn id="7" xr3:uid="{DADAAA2D-293C-48CB-9CB1-75700C9C4968}" name="Moisture" dataDxfId="36" dataCellStyle="Percent"/>
    <tableColumn id="8" xr3:uid="{2957F34A-4674-463C-8301-7C41D5617B66}" name="Previous Stage" dataDxfId="35" dataCellStyle="Percent"/>
    <tableColumn id="9" xr3:uid="{6EE0F124-564D-49F7-960F-9EE0EB9237CE}" name="Always Use Displacement Method for Co-Product?" dataDxfId="34" dataCellStyle="Percent">
      <calculatedColumnFormula>IF(Table13[[#This Row],[Type]]="Co-product", "No", "")</calculatedColumnFormula>
    </tableColumn>
    <tableColumn id="19" xr3:uid="{FECAF65C-0B47-4B61-8F33-C8CB8AF8101C}" name="Urban Share" dataDxfId="33" dataCellStyle="Percent"/>
    <tableColumn id="10" xr3:uid="{0E59D430-6097-4EDF-B14A-959C8C548B5D}" name="Product Train" dataDxfId="32"/>
    <tableColumn id="14" xr3:uid="{1CEFABF1-C5C0-4155-B2DA-9C96DB3EF9E6}" name="Payload" dataDxfId="31">
      <calculatedColumnFormula>IF(Table13[[#This Row],[Category]]="Transportation", _xlfn.XLOOKUP(Table13[[#This Row],[Resource]], 'SI - Payload'!$A$10:$A$38,'SI - Payload'!$B$10:$B$38,"",0), "")</calculatedColumnFormula>
    </tableColumn>
    <tableColumn id="15" xr3:uid="{EE5FB89E-00B2-49AB-86F6-885F10A10A44}" name="Payload Unit" dataDxfId="30">
      <calculatedColumnFormula>IF(Table13[[#This Row],[Category]]="Transportation", "ton", "")</calculatedColumnFormula>
    </tableColumn>
    <tableColumn id="16" xr3:uid="{DD4AF3CD-95A6-4155-A9F8-219BB655F17C}" name="Market Price" dataDxfId="29"/>
    <tableColumn id="17" xr3:uid="{52DB1B6A-4585-458B-995E-186B46E8C3DF}" name="Market Price Unit" dataDxfId="28"/>
    <tableColumn id="12" xr3:uid="{4781A17F-CA51-4602-9E9E-45059C893A05}" name="Incumbent Product" dataDxfId="27">
      <calculatedColumnFormula>IF(OR(Table13[[#This Row],[Type]]="Main Product", Table13[[#This Row],[Type]]="Co-Product"), Table13[[#This Row],[Resource]], "")</calculatedColumnFormula>
    </tableColumn>
    <tableColumn id="13" xr3:uid="{20B65699-5108-434A-92D6-E1BA8F5A7398}" name="End Use of Incumbent Product" dataDxfId="26">
      <calculatedColumnFormula>IF(_xlfn.XLOOKUP($P6,'SI - End Use'!$B$2:$B$6,'SI - End Use'!$C$2:$C$6, "")="", "", _xlfn.XLOOKUP($C6,'SI - End Use'!$B$2:$B$6,'SI - End Use'!$C$2:$C$6, ""))</calculatedColumnFormula>
    </tableColumn>
    <tableColumn id="20" xr3:uid="{F58B10F3-B502-4069-8935-2BBB2D619AE8}" name="Surrogate For" dataDxfId="25"/>
    <tableColumn id="18" xr3:uid="{D295942E-90E1-4140-8949-BB2F14AD476B}" name="Process" dataDxfId="24"/>
    <tableColumn id="11" xr3:uid="{BEF80C4D-C947-4B0E-89F7-3409DCD4C185}" name="Note" dataDxfId="2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37D2BF5-E7D4-45BA-90FA-FFF22E1695FF}" name="Table16" displayName="Table16" ref="A5:T100" totalsRowShown="0" headerRowDxfId="22" dataDxfId="21" tableBorderDxfId="20" dataCellStyle="Percent">
  <autoFilter ref="A5:T100" xr:uid="{1644AED8-49DE-4A1D-989C-1566C9A522B9}"/>
  <tableColumns count="20">
    <tableColumn id="1" xr3:uid="{6E328606-4760-4096-A758-21A4453157E4}" name="Type" dataDxfId="19"/>
    <tableColumn id="2" xr3:uid="{2151F1DC-D17E-4218-9FC7-754EAC5001CD}" name="Category" dataDxfId="18"/>
    <tableColumn id="3" xr3:uid="{09A74ADF-B073-4D0D-8E4B-E7813F1846B8}" name="Resource" dataDxfId="17">
      <calculatedColumnFormula>_xlfn.XLOOKUP($B6,'SI - Resources'!$A$1:$J$1,'SI - Resources'!$A$2:$J$2, "")</calculatedColumnFormula>
    </tableColumn>
    <tableColumn id="4" xr3:uid="{33EEE2F5-240A-4E68-8288-4CE4D0BDE199}" name="End Use" dataDxfId="16">
      <calculatedColumnFormula>IF(_xlfn.XLOOKUP($C6,'SI - End Use'!$B$2:$B$6,'SI - End Use'!$C$2:$C$6, "")="", "", _xlfn.XLOOKUP($C6,'SI - End Use'!$B$2:$B$6,'SI - End Use'!$C$2:$C$6, ""))</calculatedColumnFormula>
    </tableColumn>
    <tableColumn id="5" xr3:uid="{51456D1A-DC2C-465A-A1DA-68239DC62F85}" name="Amount" dataDxfId="15" dataCellStyle="Comma"/>
    <tableColumn id="6" xr3:uid="{1942CFC9-786E-478A-A5E1-C327D2A32E8B}" name="Unit" dataDxfId="14">
      <calculatedColumnFormula array="1">IF($B6="Transportation",  'SI - Units'!$B$9:$B$9, _xlfn.XLOOKUP(_xlfn.XLOOKUP($C6,'SI - Units'!$B$24:$B$109,'SI - Units'!$C$24:$C$109, ""),'SI - Units'!$A$2:$A$8,'SI - Units'!$B$2:$B$8, ""))</calculatedColumnFormula>
    </tableColumn>
    <tableColumn id="7" xr3:uid="{A4C6B6A5-4FBF-4539-A8FB-0BC85256B908}" name="Moisture" dataDxfId="13" dataCellStyle="Percent"/>
    <tableColumn id="8" xr3:uid="{CB7C1EB8-0D63-416C-B2FD-8A029295381E}" name="Previous Stage" dataDxfId="12" dataCellStyle="Percent"/>
    <tableColumn id="9" xr3:uid="{67FE47DB-E35F-4984-AFF9-4AEEE2FAB6B4}" name="Always Use Displacement Method for Co-Product?" dataDxfId="11" dataCellStyle="Percent">
      <calculatedColumnFormula>IF(Table16[[#This Row],[Type]]="Co-product", "No", "")</calculatedColumnFormula>
    </tableColumn>
    <tableColumn id="19" xr3:uid="{A81EF302-17BF-4AC8-B63A-E7F181DA2538}" name="Urban Share" dataDxfId="10" dataCellStyle="Percent"/>
    <tableColumn id="10" xr3:uid="{4BB04949-D931-49DB-A73B-FAA9F047D16E}" name="Product Train" dataDxfId="9"/>
    <tableColumn id="14" xr3:uid="{FE2F881D-4B29-4707-8A3D-02F8CE55DA47}" name="Payload" dataDxfId="8">
      <calculatedColumnFormula>IF(Table16[[#This Row],[Category]]="Transportation", _xlfn.XLOOKUP(Table16[[#This Row],[Resource]], 'SI - Payload'!$A$10:$A$38,'SI - Payload'!$B$10:$B$38,"",0), "")</calculatedColumnFormula>
    </tableColumn>
    <tableColumn id="15" xr3:uid="{A3359969-15C8-4595-8A83-52407EC431B6}" name="Payload Unit" dataDxfId="7">
      <calculatedColumnFormula>IF(Table16[[#This Row],[Category]]="Transportation", "ton", "")</calculatedColumnFormula>
    </tableColumn>
    <tableColumn id="16" xr3:uid="{883AE82A-B394-449E-87E4-EE4E272A5268}" name="Market Price" dataDxfId="6"/>
    <tableColumn id="17" xr3:uid="{2EFCE20B-231A-45AB-B3F8-556CBBE42F8D}" name="Market Price Unit" dataDxfId="5"/>
    <tableColumn id="12" xr3:uid="{14B7BB6F-57F2-40E3-A58D-76125A63CBC0}" name="Incumbent Product" dataDxfId="4">
      <calculatedColumnFormula>IF(OR(Table16[[#This Row],[Type]]="Main Product", Table16[[#This Row],[Type]]="Co-Product"), Table16[[#This Row],[Resource]], "")</calculatedColumnFormula>
    </tableColumn>
    <tableColumn id="13" xr3:uid="{51831DC5-A48F-4955-BE79-BA8F09B5C06E}" name="End Use of Incumbent Product" dataDxfId="3">
      <calculatedColumnFormula>IF(_xlfn.XLOOKUP($P6,'SI - End Use'!$B$2:$B$6,'SI - End Use'!$C$2:$C$6, "")="", "", _xlfn.XLOOKUP($C6,'SI - End Use'!$B$2:$B$6,'SI - End Use'!$C$2:$C$6, ""))</calculatedColumnFormula>
    </tableColumn>
    <tableColumn id="20" xr3:uid="{F42507AC-79CC-4617-A56C-253779E10B42}" name="Surrogate For" dataDxfId="2"/>
    <tableColumn id="18" xr3:uid="{1F66D00A-97C1-4468-98EF-0032E1E75E76}" name="Process" dataDxfId="1"/>
    <tableColumn id="11" xr3:uid="{A4BFE9BB-6B8B-42F1-8265-792D7C11F757}"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60" t="s">
        <v>261</v>
      </c>
      <c r="B2" s="60"/>
    </row>
    <row r="3" spans="1:3" ht="29.15" customHeight="1" x14ac:dyDescent="0.35">
      <c r="A3" s="62" t="s">
        <v>274</v>
      </c>
      <c r="B3" s="62"/>
    </row>
    <row r="4" spans="1:3" ht="28" customHeight="1" x14ac:dyDescent="0.35">
      <c r="A4" s="19"/>
      <c r="B4" s="19"/>
    </row>
    <row r="5" spans="1:3" ht="28" customHeight="1" x14ac:dyDescent="0.35">
      <c r="A5" s="61" t="s">
        <v>260</v>
      </c>
      <c r="B5" s="61"/>
    </row>
    <row r="6" spans="1:3" ht="28" customHeight="1" x14ac:dyDescent="0.35">
      <c r="A6" s="21" t="s">
        <v>119</v>
      </c>
      <c r="B6" s="20"/>
    </row>
    <row r="7" spans="1:3" x14ac:dyDescent="0.35">
      <c r="A7" s="23" t="s">
        <v>125</v>
      </c>
      <c r="B7" s="15" t="s">
        <v>256</v>
      </c>
    </row>
    <row r="8" spans="1:3" x14ac:dyDescent="0.35">
      <c r="A8" s="23" t="s">
        <v>262</v>
      </c>
      <c r="B8" s="22" t="s">
        <v>263</v>
      </c>
      <c r="C8" s="14"/>
    </row>
    <row r="9" spans="1:3" ht="21" x14ac:dyDescent="0.35">
      <c r="A9" s="20"/>
      <c r="B9" s="20"/>
    </row>
    <row r="10" spans="1:3" ht="28" customHeight="1" x14ac:dyDescent="0.35">
      <c r="A10" s="21" t="s">
        <v>120</v>
      </c>
      <c r="B10" s="20"/>
    </row>
    <row r="11" spans="1:3" x14ac:dyDescent="0.35">
      <c r="A11" s="16" t="s">
        <v>6</v>
      </c>
      <c r="B11" s="15" t="s">
        <v>264</v>
      </c>
    </row>
    <row r="12" spans="1:3" x14ac:dyDescent="0.35">
      <c r="A12" s="18" t="s">
        <v>0</v>
      </c>
      <c r="B12" s="15" t="s">
        <v>115</v>
      </c>
    </row>
    <row r="13" spans="1:3" x14ac:dyDescent="0.35">
      <c r="A13" s="18" t="s">
        <v>265</v>
      </c>
      <c r="B13" s="15" t="s">
        <v>273</v>
      </c>
    </row>
    <row r="14" spans="1:3" ht="58" x14ac:dyDescent="0.35">
      <c r="A14" s="18" t="s">
        <v>113</v>
      </c>
      <c r="B14" s="15" t="s">
        <v>266</v>
      </c>
    </row>
    <row r="15" spans="1:3" ht="87" x14ac:dyDescent="0.35">
      <c r="A15" s="18" t="s">
        <v>85</v>
      </c>
      <c r="B15" s="15" t="s">
        <v>267</v>
      </c>
    </row>
    <row r="16" spans="1:3" ht="43.5" x14ac:dyDescent="0.35">
      <c r="A16" s="18" t="s">
        <v>240</v>
      </c>
      <c r="B16" s="15" t="s">
        <v>268</v>
      </c>
    </row>
    <row r="17" spans="1:2" x14ac:dyDescent="0.35">
      <c r="A17" s="17" t="s">
        <v>1</v>
      </c>
      <c r="B17" s="15" t="s">
        <v>247</v>
      </c>
    </row>
    <row r="18" spans="1:2" x14ac:dyDescent="0.35">
      <c r="A18" s="17" t="s">
        <v>35</v>
      </c>
      <c r="B18" s="15" t="s">
        <v>116</v>
      </c>
    </row>
    <row r="19" spans="1:2" ht="43.5" x14ac:dyDescent="0.35">
      <c r="A19" s="17" t="s">
        <v>5</v>
      </c>
      <c r="B19" s="15" t="s">
        <v>269</v>
      </c>
    </row>
    <row r="20" spans="1:2" x14ac:dyDescent="0.35">
      <c r="A20" s="17" t="s">
        <v>7</v>
      </c>
      <c r="B20" s="15" t="s">
        <v>118</v>
      </c>
    </row>
    <row r="21" spans="1:2" x14ac:dyDescent="0.35">
      <c r="A21" s="17" t="s">
        <v>8</v>
      </c>
      <c r="B21" s="15" t="s">
        <v>117</v>
      </c>
    </row>
    <row r="22" spans="1:2" ht="29" x14ac:dyDescent="0.35">
      <c r="A22" s="17" t="s">
        <v>111</v>
      </c>
      <c r="B22" s="15" t="s">
        <v>270</v>
      </c>
    </row>
    <row r="23" spans="1:2" ht="29" x14ac:dyDescent="0.35">
      <c r="A23" s="17" t="s">
        <v>258</v>
      </c>
      <c r="B23" s="15" t="s">
        <v>271</v>
      </c>
    </row>
    <row r="24" spans="1:2" ht="58" x14ac:dyDescent="0.35">
      <c r="A24" s="17" t="s">
        <v>122</v>
      </c>
      <c r="B24" s="15" t="s">
        <v>272</v>
      </c>
    </row>
    <row r="25" spans="1:2" ht="29" x14ac:dyDescent="0.35">
      <c r="A25" s="17" t="s">
        <v>84</v>
      </c>
      <c r="B25" s="15" t="s">
        <v>248</v>
      </c>
    </row>
    <row r="26" spans="1:2" x14ac:dyDescent="0.35">
      <c r="A26" s="17" t="s">
        <v>133</v>
      </c>
      <c r="B26" s="15" t="s">
        <v>249</v>
      </c>
    </row>
    <row r="27" spans="1:2" x14ac:dyDescent="0.35">
      <c r="A27" s="17" t="s">
        <v>134</v>
      </c>
      <c r="B27" t="s">
        <v>250</v>
      </c>
    </row>
    <row r="28" spans="1:2" x14ac:dyDescent="0.35">
      <c r="A28" s="17" t="s">
        <v>135</v>
      </c>
      <c r="B28" s="15" t="s">
        <v>252</v>
      </c>
    </row>
    <row r="29" spans="1:2" x14ac:dyDescent="0.35">
      <c r="A29" s="17" t="s">
        <v>136</v>
      </c>
      <c r="B29" t="s">
        <v>251</v>
      </c>
    </row>
    <row r="30" spans="1:2" ht="29" x14ac:dyDescent="0.35">
      <c r="A30" s="17" t="s">
        <v>137</v>
      </c>
      <c r="B30" s="15" t="s">
        <v>253</v>
      </c>
    </row>
    <row r="31" spans="1:2" x14ac:dyDescent="0.35">
      <c r="A31" s="17" t="s">
        <v>138</v>
      </c>
      <c r="B31" t="s">
        <v>254</v>
      </c>
    </row>
    <row r="32" spans="1:2" ht="58" x14ac:dyDescent="0.35">
      <c r="A32" s="17" t="s">
        <v>255</v>
      </c>
      <c r="B32" s="15" t="s">
        <v>275</v>
      </c>
    </row>
    <row r="33" spans="1:2" x14ac:dyDescent="0.35">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1879600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workbookViewId="0">
      <pane ySplit="5" topLeftCell="A6" activePane="bottomLeft" state="frozen"/>
      <selection activeCell="P25" sqref="P25"/>
      <selection pane="bottomLeft" activeCell="P25" sqref="P25"/>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Payload'!$A$10:$A$38,'SI - Payload'!$B$10:$B$38,"",0),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x14ac:dyDescent="0.35">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Payload'!$A$10:$A$38,'SI - Payload'!$B$10:$B$38,"",0),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x14ac:dyDescent="0.3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Payload'!$A$10:$A$38,'SI - Payload'!$B$10:$B$38,"",0),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Payload'!$A$10:$A$38,'SI - Payload'!$B$10:$B$38,"",0),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Payload'!$A$10:$A$38,'SI - Payload'!$B$10:$B$38,"",0),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Payload'!$A$10:$A$38,'SI - Payload'!$B$10:$B$38,"",0),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Payload'!$A$10:$A$38,'SI - Payload'!$B$10:$B$38,"",0),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Payload'!$A$10:$A$38,'SI - Payload'!$B$10:$B$38,"",0),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Payload'!$A$10:$A$38,'SI - Payload'!$B$10:$B$38,"",0),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Payload'!$A$10:$A$38,'SI - Payload'!$B$10:$B$38,"",0),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Payload'!$A$10:$A$38,'SI - Payload'!$B$10:$B$38,"",0),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Payload'!$A$10:$A$38,'SI - Payload'!$B$10:$B$38,"",0),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Payload'!$A$10:$A$38,'SI - Payload'!$B$10:$B$38,"",0),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Payload'!$A$10:$A$38,'SI - Payload'!$B$10:$B$38,"",0),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Payload'!$A$10:$A$38,'SI - Payload'!$B$10:$B$38,"",0),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Payload'!$A$10:$A$38,'SI - Payload'!$B$10:$B$38,"",0),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Payload'!$A$10:$A$38,'SI - Payload'!$B$10:$B$38,"",0),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Payload'!$A$10:$A$38,'SI - Payload'!$B$10:$B$38,"",0),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Payload'!$A$10:$A$38,'SI - Payload'!$B$10:$B$38,"",0),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Payload'!$A$10:$A$38,'SI - Payload'!$B$10:$B$38,"",0),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Payload'!$A$10:$A$38,'SI - Payload'!$B$10:$B$38,"",0),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Payload'!$A$10:$A$38,'SI - Payload'!$B$10:$B$38,"",0),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Payload'!$A$10:$A$38,'SI - Payload'!$B$10:$B$38,"",0),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Payload'!$A$10:$A$38,'SI - Payload'!$B$10:$B$38,"",0),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Payload'!$A$10:$A$38,'SI - Payload'!$B$10:$B$38,"",0),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Payload'!$A$10:$A$38,'SI - Payload'!$B$10:$B$38,"",0),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Payload'!$A$10:$A$38,'SI - Payload'!$B$10:$B$38,"",0),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Payload'!$A$10:$A$38,'SI - Payload'!$B$10:$B$38,"",0),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Payload'!$A$10:$A$38,'SI - Payload'!$B$10:$B$38,"",0),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Payload'!$A$10:$A$38,'SI - Payload'!$B$10:$B$38,"",0),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Payload'!$A$10:$A$38,'SI - Payload'!$B$10:$B$38,"",0),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Payload'!$A$10:$A$38,'SI - Payload'!$B$10:$B$38,"",0),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Payload'!$A$10:$A$38,'SI - Payload'!$B$10:$B$38,"",0),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Payload'!$A$10:$A$38,'SI - Payload'!$B$10:$B$38,"",0),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Payload'!$A$10:$A$38,'SI - Payload'!$B$10:$B$38,"",0),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Payload'!$A$10:$A$38,'SI - Payload'!$B$10:$B$38,"",0),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Payload'!$A$10:$A$38,'SI - Payload'!$B$10:$B$38,"",0),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Payload'!$A$10:$A$38,'SI - Payload'!$B$10:$B$38,"",0),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Payload'!$A$10:$A$38,'SI - Payload'!$B$10:$B$38,"",0),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Payload'!$A$10:$A$38,'SI - Payload'!$B$10:$B$38,"",0),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Payload'!$A$10:$A$38,'SI - Payload'!$B$10:$B$38,"",0),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Payload'!$A$10:$A$38,'SI - Payload'!$B$10:$B$38,"",0),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Payload'!$A$10:$A$38,'SI - Payload'!$B$10:$B$38,"",0),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Payload'!$A$10:$A$38,'SI - Payload'!$B$10:$B$38,"",0),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Payload'!$A$10:$A$38,'SI - Payload'!$B$10:$B$38,"",0),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Payload'!$A$10:$A$38,'SI - Payload'!$B$10:$B$38,"",0),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Payload'!$A$10:$A$38,'SI - Payload'!$B$10:$B$38,"",0),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Payload'!$A$10:$A$38,'SI - Payload'!$B$10:$B$38,"",0),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Payload'!$A$10:$A$38,'SI - Payload'!$B$10:$B$38,"",0),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Payload'!$A$10:$A$38,'SI - Payload'!$B$10:$B$38,"",0),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Payload'!$A$10:$A$38,'SI - Payload'!$B$10:$B$38,"",0),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Payload'!$A$10:$A$38,'SI - Payload'!$B$10:$B$38,"",0),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Payload'!$A$10:$A$38,'SI - Payload'!$B$10:$B$38,"",0),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Payload'!$A$10:$A$38,'SI - Payload'!$B$10:$B$38,"",0),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Payload'!$A$10:$A$38,'SI - Payload'!$B$10:$B$38,"",0),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Payload'!$A$10:$A$38,'SI - Payload'!$B$10:$B$38,"",0),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Payload'!$A$10:$A$38,'SI - Payload'!$B$10:$B$38,"",0),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Payload'!$A$10:$A$38,'SI - Payload'!$B$10:$B$38,"",0),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Payload'!$A$10:$A$38,'SI - Payload'!$B$10:$B$38,"",0),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Payload'!$A$10:$A$38,'SI - Payload'!$B$10:$B$38,"",0),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Payload'!$A$10:$A$38,'SI - Payload'!$B$10:$B$38,"",0),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Payload'!$A$10:$A$38,'SI - Payload'!$B$10:$B$38,"",0),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Payload'!$A$10:$A$38,'SI - Payload'!$B$10:$B$38,"",0),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Payload'!$A$10:$A$38,'SI - Payload'!$B$10:$B$38,"",0),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Payload'!$A$10:$A$38,'SI - Payload'!$B$10:$B$38,"",0),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Payload'!$A$10:$A$38,'SI - Payload'!$B$10:$B$38,"",0),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Payload'!$A$10:$A$38,'SI - Payload'!$B$10:$B$38,"",0),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Payload'!$A$10:$A$38,'SI - Payload'!$B$10:$B$38,"",0),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Payload'!$A$10:$A$38,'SI - Payload'!$B$10:$B$38,"",0),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Payload'!$A$10:$A$38,'SI - Payload'!$B$10:$B$38,"",0),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Payload'!$A$10:$A$38,'SI - Payload'!$B$10:$B$38,"",0),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Payload'!$A$10:$A$38,'SI - Payload'!$B$10:$B$38,"",0),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Payload'!$A$10:$A$38,'SI - Payload'!$B$10:$B$38,"",0),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Payload'!$A$10:$A$38,'SI - Payload'!$B$10:$B$38,"",0),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Payload'!$A$10:$A$38,'SI - Payload'!$B$10:$B$38,"",0),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Payload'!$A$10:$A$38,'SI - Payload'!$B$10:$B$38,"",0),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Payload'!$A$10:$A$38,'SI - Payload'!$B$10:$B$38,"",0),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Payload'!$A$10:$A$38,'SI - Payload'!$B$10:$B$38,"",0),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Payload'!$A$10:$A$38,'SI - Payload'!$B$10:$B$38,"",0),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Payload'!$A$10:$A$38,'SI - Payload'!$B$10:$B$38,"",0),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Payload'!$A$10:$A$38,'SI - Payload'!$B$10:$B$38,"",0),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Payload'!$A$10:$A$38,'SI - Payload'!$B$10:$B$38,"",0),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Payload'!$A$10:$A$38,'SI - Payload'!$B$10:$B$38,"",0),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Payload'!$A$10:$A$38,'SI - Payload'!$B$10:$B$38,"",0),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Payload'!$A$10:$A$38,'SI - Payload'!$B$10:$B$38,"",0),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Payload'!$A$10:$A$38,'SI - Payload'!$B$10:$B$38,"",0),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Payload'!$A$10:$A$38,'SI - Payload'!$B$10:$B$38,"",0),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Payload'!$A$10:$A$38,'SI - Payload'!$B$10:$B$38,"",0),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Payload'!$A$10:$A$38,'SI - Payload'!$B$10:$B$38,"",0),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Payload'!$A$10:$A$38,'SI - Payload'!$B$10:$B$38,"",0),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Payload'!$A$10:$A$38,'SI - Payload'!$B$10:$B$38,"",0),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Payload'!$A$10:$A$38,'SI - Payload'!$B$10:$B$38,"",0),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Payload'!$A$10:$A$38,'SI - Payload'!$B$10:$B$38,"",0),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Payload'!$A$10:$A$38,'SI - Payload'!$B$10:$B$38,"",0),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Payload'!$A$10:$A$38,'SI - Payload'!$B$10:$B$38,"",0),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Use'!$A$11:$A$17,'SI - End Use'!$B$11:$B$17,"other_end_use",0))</xm:f>
          </x14:formula1>
          <xm:sqref>D6:D100</xm:sqref>
        </x14:dataValidation>
        <x14:dataValidation type="list" allowBlank="1" showInputMessage="1" showErrorMessage="1" xr:uid="{DC2C16C8-CE07-4FE6-9DEE-2F41BAAE693C}">
          <x14:formula1>
            <xm:f>INDIRECT(_xlfn.XLOOKUP($P6,'SI - End Use'!$A$11:$A$17,'SI - End Use'!$B$11:$B$17,"other_end_use",0))</xm:f>
          </x14:formula1>
          <xm:sqref>Q6:Q100</xm:sqref>
        </x14:dataValidation>
        <x14:dataValidation type="list" allowBlank="1" showInputMessage="1" showErrorMessage="1" xr:uid="{CE4F3BE5-4A30-4B88-911F-8304175FD33C}">
          <x14:formula1>
            <xm:f>IF($B6="Transportation",  transport_units, INDIRECT(_xlfn.XLOOKUP($C6, 'SI - Units'!$F$26:$F$36,'SI - Units'!$G$26:$G$36,"mass",0)))</xm:f>
          </x14:formula1>
          <xm:sqref>F6:F100</xm:sqref>
        </x14:dataValidation>
        <x14:dataValidation type="list" allowBlank="1" showInputMessage="1" showErrorMessage="1" xr:uid="{05496563-CC83-4996-B1CE-3FED2D55798A}">
          <x14:formula1>
            <xm:f>INDIRECT("p_"&amp;_xlfn.XLOOKUP($C6,'SI - Units'!$F$26:$F$36,'SI - Units'!$G$26:$G$36,"mass",0))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38"/>
  <sheetViews>
    <sheetView workbookViewId="0">
      <selection activeCell="P25" sqref="P25"/>
    </sheetView>
  </sheetViews>
  <sheetFormatPr defaultRowHeight="14.5" x14ac:dyDescent="0.35"/>
  <cols>
    <col min="1" max="1" width="25" bestFit="1" customWidth="1"/>
    <col min="7" max="7" width="8.81640625" bestFit="1" customWidth="1"/>
  </cols>
  <sheetData>
    <row r="1" spans="1:78" ht="65.5" x14ac:dyDescent="0.3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x14ac:dyDescent="0.35">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x14ac:dyDescent="0.35">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x14ac:dyDescent="0.35">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x14ac:dyDescent="0.35">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x14ac:dyDescent="0.35">
      <c r="A10" t="s">
        <v>32</v>
      </c>
      <c r="B10" s="50">
        <f>AC4</f>
        <v>15</v>
      </c>
    </row>
    <row r="11" spans="1:78" x14ac:dyDescent="0.35">
      <c r="A11" t="s">
        <v>288</v>
      </c>
      <c r="B11" s="50">
        <f>AV4</f>
        <v>25</v>
      </c>
    </row>
    <row r="12" spans="1:78" x14ac:dyDescent="0.35">
      <c r="A12" t="s">
        <v>2</v>
      </c>
      <c r="B12" s="50">
        <f>D4</f>
        <v>25</v>
      </c>
    </row>
    <row r="13" spans="1:78" x14ac:dyDescent="0.35">
      <c r="A13" t="s">
        <v>22</v>
      </c>
      <c r="B13" s="51">
        <f>Q4</f>
        <v>0.4</v>
      </c>
    </row>
    <row r="14" spans="1:78" x14ac:dyDescent="0.35">
      <c r="A14" t="s">
        <v>71</v>
      </c>
      <c r="B14" s="50">
        <f>W4</f>
        <v>25</v>
      </c>
    </row>
    <row r="15" spans="1:78" x14ac:dyDescent="0.35">
      <c r="A15" t="s">
        <v>276</v>
      </c>
      <c r="B15" s="50">
        <f>W4</f>
        <v>25</v>
      </c>
    </row>
    <row r="16" spans="1:78" x14ac:dyDescent="0.35">
      <c r="A16" t="s">
        <v>277</v>
      </c>
      <c r="B16" s="50">
        <f>W4</f>
        <v>25</v>
      </c>
    </row>
    <row r="17" spans="1:2" x14ac:dyDescent="0.35">
      <c r="A17" t="s">
        <v>13</v>
      </c>
      <c r="B17" s="50">
        <f>$Y$4</f>
        <v>22.5</v>
      </c>
    </row>
    <row r="18" spans="1:2" x14ac:dyDescent="0.35">
      <c r="A18" t="s">
        <v>14</v>
      </c>
      <c r="B18" s="50">
        <f t="shared" ref="B18:B38" si="0">$Y$4</f>
        <v>22.5</v>
      </c>
    </row>
    <row r="19" spans="1:2" x14ac:dyDescent="0.35">
      <c r="A19" t="s">
        <v>15</v>
      </c>
      <c r="B19" s="50">
        <f t="shared" si="0"/>
        <v>22.5</v>
      </c>
    </row>
    <row r="20" spans="1:2" x14ac:dyDescent="0.35">
      <c r="A20" t="s">
        <v>16</v>
      </c>
      <c r="B20" s="50">
        <f t="shared" si="0"/>
        <v>22.5</v>
      </c>
    </row>
    <row r="21" spans="1:2" x14ac:dyDescent="0.35">
      <c r="A21" t="s">
        <v>17</v>
      </c>
      <c r="B21" s="50">
        <f t="shared" si="0"/>
        <v>22.5</v>
      </c>
    </row>
    <row r="22" spans="1:2" x14ac:dyDescent="0.35">
      <c r="A22" t="s">
        <v>18</v>
      </c>
      <c r="B22" s="50">
        <f t="shared" si="0"/>
        <v>22.5</v>
      </c>
    </row>
    <row r="23" spans="1:2" x14ac:dyDescent="0.35">
      <c r="A23" t="s">
        <v>19</v>
      </c>
      <c r="B23" s="50">
        <f t="shared" si="0"/>
        <v>22.5</v>
      </c>
    </row>
    <row r="24" spans="1:2" x14ac:dyDescent="0.35">
      <c r="A24" t="s">
        <v>107</v>
      </c>
      <c r="B24" s="50">
        <f t="shared" si="0"/>
        <v>22.5</v>
      </c>
    </row>
    <row r="25" spans="1:2" x14ac:dyDescent="0.35">
      <c r="A25" t="s">
        <v>106</v>
      </c>
      <c r="B25" s="50">
        <f t="shared" si="0"/>
        <v>22.5</v>
      </c>
    </row>
    <row r="26" spans="1:2" x14ac:dyDescent="0.35">
      <c r="A26" t="s">
        <v>21</v>
      </c>
      <c r="B26" s="50">
        <f t="shared" si="0"/>
        <v>22.5</v>
      </c>
    </row>
    <row r="27" spans="1:2" x14ac:dyDescent="0.35">
      <c r="A27" t="s">
        <v>36</v>
      </c>
      <c r="B27" s="50">
        <f t="shared" si="0"/>
        <v>22.5</v>
      </c>
    </row>
    <row r="28" spans="1:2" x14ac:dyDescent="0.35">
      <c r="A28" t="s">
        <v>23</v>
      </c>
      <c r="B28" s="50">
        <f t="shared" si="0"/>
        <v>22.5</v>
      </c>
    </row>
    <row r="29" spans="1:2" x14ac:dyDescent="0.35">
      <c r="A29" t="s">
        <v>25</v>
      </c>
      <c r="B29" s="50">
        <f t="shared" si="0"/>
        <v>22.5</v>
      </c>
    </row>
    <row r="30" spans="1:2" x14ac:dyDescent="0.35">
      <c r="A30" t="s">
        <v>26</v>
      </c>
      <c r="B30" s="50">
        <f t="shared" si="0"/>
        <v>22.5</v>
      </c>
    </row>
    <row r="31" spans="1:2" x14ac:dyDescent="0.35">
      <c r="A31" t="s">
        <v>30</v>
      </c>
      <c r="B31" s="50">
        <f t="shared" si="0"/>
        <v>22.5</v>
      </c>
    </row>
    <row r="32" spans="1:2" x14ac:dyDescent="0.35">
      <c r="A32" t="s">
        <v>21</v>
      </c>
      <c r="B32" s="50">
        <f t="shared" si="0"/>
        <v>22.5</v>
      </c>
    </row>
    <row r="33" spans="1:2" x14ac:dyDescent="0.35">
      <c r="A33" t="s">
        <v>20</v>
      </c>
      <c r="B33" s="50">
        <f t="shared" si="0"/>
        <v>22.5</v>
      </c>
    </row>
    <row r="34" spans="1:2" x14ac:dyDescent="0.35">
      <c r="A34" t="s">
        <v>36</v>
      </c>
      <c r="B34" s="50">
        <f t="shared" si="0"/>
        <v>22.5</v>
      </c>
    </row>
    <row r="35" spans="1:2" x14ac:dyDescent="0.35">
      <c r="A35" t="s">
        <v>25</v>
      </c>
      <c r="B35" s="50">
        <f t="shared" si="0"/>
        <v>22.5</v>
      </c>
    </row>
    <row r="36" spans="1:2" x14ac:dyDescent="0.35">
      <c r="A36" t="s">
        <v>239</v>
      </c>
      <c r="B36" s="50">
        <v>23</v>
      </c>
    </row>
    <row r="37" spans="1:2" x14ac:dyDescent="0.35">
      <c r="A37" t="s">
        <v>243</v>
      </c>
      <c r="B37" s="50">
        <v>23</v>
      </c>
    </row>
    <row r="38" spans="1:2" x14ac:dyDescent="0.35">
      <c r="A38" t="s">
        <v>51</v>
      </c>
      <c r="B38"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P25" sqref="P25"/>
    </sheetView>
  </sheetViews>
  <sheetFormatPr defaultRowHeight="14.5" x14ac:dyDescent="0.35"/>
  <cols>
    <col min="1" max="2" width="9.81640625" customWidth="1"/>
    <col min="3" max="3" width="10.54296875" bestFit="1" customWidth="1"/>
    <col min="4" max="4" width="10.54296875" customWidth="1"/>
    <col min="5" max="5" width="22.54296875" customWidth="1"/>
    <col min="7" max="7" width="15.54296875" bestFit="1" customWidth="1"/>
    <col min="10" max="10" width="15.81640625" bestFit="1" customWidth="1"/>
  </cols>
  <sheetData>
    <row r="1" spans="1:19" x14ac:dyDescent="0.35">
      <c r="A1" s="2" t="s">
        <v>38</v>
      </c>
      <c r="B1" s="2" t="s">
        <v>230</v>
      </c>
      <c r="C1" s="2" t="s">
        <v>244</v>
      </c>
      <c r="D1" s="2" t="s">
        <v>3</v>
      </c>
      <c r="E1" s="2" t="s">
        <v>37</v>
      </c>
      <c r="F1" s="2" t="s">
        <v>29</v>
      </c>
      <c r="G1" s="2" t="s">
        <v>282</v>
      </c>
      <c r="H1" s="2" t="s">
        <v>33</v>
      </c>
      <c r="I1" s="2" t="s">
        <v>217</v>
      </c>
      <c r="J1" s="2" t="s">
        <v>245</v>
      </c>
      <c r="K1" s="2" t="s">
        <v>330</v>
      </c>
      <c r="R1" t="s">
        <v>38</v>
      </c>
      <c r="S1" t="s">
        <v>321</v>
      </c>
    </row>
    <row r="2" spans="1:19" x14ac:dyDescent="0.35">
      <c r="A2" t="s">
        <v>32</v>
      </c>
      <c r="B2" t="s">
        <v>231</v>
      </c>
      <c r="C2" t="s">
        <v>2</v>
      </c>
      <c r="D2" t="s">
        <v>3</v>
      </c>
      <c r="E2" t="s">
        <v>278</v>
      </c>
      <c r="F2" t="s">
        <v>29</v>
      </c>
      <c r="G2" t="s">
        <v>283</v>
      </c>
      <c r="H2" t="s">
        <v>32</v>
      </c>
      <c r="I2" t="s">
        <v>239</v>
      </c>
      <c r="J2" t="s">
        <v>218</v>
      </c>
      <c r="R2" t="s">
        <v>230</v>
      </c>
      <c r="S2" t="s">
        <v>322</v>
      </c>
    </row>
    <row r="3" spans="1:19" x14ac:dyDescent="0.35">
      <c r="A3" t="s">
        <v>288</v>
      </c>
      <c r="C3" s="1" t="s">
        <v>24</v>
      </c>
      <c r="E3" s="1" t="s">
        <v>14</v>
      </c>
      <c r="G3" t="s">
        <v>284</v>
      </c>
      <c r="H3" t="s">
        <v>239</v>
      </c>
      <c r="I3" t="s">
        <v>243</v>
      </c>
      <c r="J3" t="s">
        <v>219</v>
      </c>
      <c r="R3" t="s">
        <v>244</v>
      </c>
      <c r="S3" t="s">
        <v>326</v>
      </c>
    </row>
    <row r="4" spans="1:19" x14ac:dyDescent="0.35">
      <c r="C4" s="1" t="s">
        <v>22</v>
      </c>
      <c r="D4" s="1"/>
      <c r="E4" s="1" t="s">
        <v>51</v>
      </c>
      <c r="G4" t="s">
        <v>285</v>
      </c>
      <c r="H4" t="s">
        <v>243</v>
      </c>
      <c r="J4" t="s">
        <v>220</v>
      </c>
      <c r="R4" t="s">
        <v>3</v>
      </c>
      <c r="S4" t="s">
        <v>323</v>
      </c>
    </row>
    <row r="5" spans="1:19" x14ac:dyDescent="0.35">
      <c r="C5" s="1" t="s">
        <v>309</v>
      </c>
      <c r="D5" s="1"/>
      <c r="E5" s="1" t="s">
        <v>36</v>
      </c>
      <c r="G5" t="s">
        <v>286</v>
      </c>
      <c r="H5" t="s">
        <v>288</v>
      </c>
      <c r="J5" t="s">
        <v>221</v>
      </c>
      <c r="R5" t="s">
        <v>37</v>
      </c>
      <c r="S5" t="s">
        <v>327</v>
      </c>
    </row>
    <row r="6" spans="1:19" x14ac:dyDescent="0.35">
      <c r="C6" t="s">
        <v>71</v>
      </c>
      <c r="E6" s="1" t="s">
        <v>13</v>
      </c>
      <c r="J6" t="s">
        <v>222</v>
      </c>
      <c r="R6" t="s">
        <v>29</v>
      </c>
      <c r="S6" t="s">
        <v>324</v>
      </c>
    </row>
    <row r="7" spans="1:19" x14ac:dyDescent="0.35">
      <c r="C7" t="s">
        <v>276</v>
      </c>
      <c r="E7" s="1" t="s">
        <v>235</v>
      </c>
      <c r="J7" t="s">
        <v>223</v>
      </c>
      <c r="R7" t="s">
        <v>282</v>
      </c>
      <c r="S7" t="s">
        <v>328</v>
      </c>
    </row>
    <row r="8" spans="1:19" x14ac:dyDescent="0.35">
      <c r="C8" t="s">
        <v>277</v>
      </c>
      <c r="E8" s="1" t="s">
        <v>25</v>
      </c>
      <c r="J8" t="s">
        <v>224</v>
      </c>
      <c r="R8" t="s">
        <v>33</v>
      </c>
      <c r="S8" t="s">
        <v>333</v>
      </c>
    </row>
    <row r="9" spans="1:19" x14ac:dyDescent="0.35">
      <c r="C9" t="s">
        <v>312</v>
      </c>
      <c r="E9" s="1" t="s">
        <v>279</v>
      </c>
      <c r="J9" t="s">
        <v>225</v>
      </c>
      <c r="R9" t="s">
        <v>217</v>
      </c>
      <c r="S9" t="s">
        <v>325</v>
      </c>
    </row>
    <row r="10" spans="1:19" x14ac:dyDescent="0.35">
      <c r="C10" t="s">
        <v>313</v>
      </c>
      <c r="E10" s="1" t="s">
        <v>15</v>
      </c>
      <c r="J10" t="s">
        <v>226</v>
      </c>
      <c r="R10" t="s">
        <v>245</v>
      </c>
      <c r="S10" t="s">
        <v>329</v>
      </c>
    </row>
    <row r="11" spans="1:19" x14ac:dyDescent="0.35">
      <c r="E11" s="1" t="s">
        <v>16</v>
      </c>
      <c r="J11" t="s">
        <v>227</v>
      </c>
    </row>
    <row r="12" spans="1:19" x14ac:dyDescent="0.35">
      <c r="E12" s="1" t="s">
        <v>23</v>
      </c>
      <c r="J12" t="s">
        <v>228</v>
      </c>
      <c r="P12" s="34"/>
    </row>
    <row r="13" spans="1:19" x14ac:dyDescent="0.35">
      <c r="E13" t="s">
        <v>18</v>
      </c>
      <c r="J13" t="s">
        <v>229</v>
      </c>
      <c r="P13" s="34"/>
    </row>
    <row r="14" spans="1:19" x14ac:dyDescent="0.35">
      <c r="E14" t="s">
        <v>19</v>
      </c>
      <c r="P14" s="34"/>
    </row>
    <row r="15" spans="1:19" x14ac:dyDescent="0.35">
      <c r="E15" s="1" t="s">
        <v>107</v>
      </c>
    </row>
    <row r="16" spans="1:19" x14ac:dyDescent="0.35">
      <c r="E16" s="1" t="s">
        <v>234</v>
      </c>
    </row>
    <row r="17" spans="5:5" x14ac:dyDescent="0.35">
      <c r="E17" s="1" t="s">
        <v>238</v>
      </c>
    </row>
    <row r="18" spans="5:5" x14ac:dyDescent="0.35">
      <c r="E18" s="1" t="s">
        <v>236</v>
      </c>
    </row>
    <row r="19" spans="5:5" x14ac:dyDescent="0.35">
      <c r="E19" s="1" t="s">
        <v>233</v>
      </c>
    </row>
    <row r="20" spans="5:5" x14ac:dyDescent="0.35">
      <c r="E20" s="1" t="s">
        <v>237</v>
      </c>
    </row>
    <row r="21" spans="5:5" x14ac:dyDescent="0.35">
      <c r="E21" s="1" t="s">
        <v>49</v>
      </c>
    </row>
    <row r="22" spans="5:5" x14ac:dyDescent="0.35">
      <c r="E22" s="1" t="s">
        <v>280</v>
      </c>
    </row>
    <row r="23" spans="5:5" x14ac:dyDescent="0.35">
      <c r="E23" s="1" t="s">
        <v>21</v>
      </c>
    </row>
    <row r="24" spans="5:5" x14ac:dyDescent="0.35">
      <c r="E24" s="1" t="s">
        <v>106</v>
      </c>
    </row>
    <row r="25" spans="5:5" x14ac:dyDescent="0.35">
      <c r="E25" t="s">
        <v>287</v>
      </c>
    </row>
    <row r="26" spans="5:5" x14ac:dyDescent="0.35">
      <c r="E26" s="1" t="s">
        <v>289</v>
      </c>
    </row>
    <row r="27" spans="5:5" x14ac:dyDescent="0.35">
      <c r="E27" s="1" t="s">
        <v>87</v>
      </c>
    </row>
    <row r="28" spans="5:5" x14ac:dyDescent="0.35">
      <c r="E28" s="1" t="s">
        <v>15</v>
      </c>
    </row>
    <row r="29" spans="5:5" x14ac:dyDescent="0.35">
      <c r="E29" s="1" t="s">
        <v>290</v>
      </c>
    </row>
    <row r="30" spans="5:5" x14ac:dyDescent="0.35">
      <c r="E30" s="58" t="s">
        <v>291</v>
      </c>
    </row>
    <row r="31" spans="5:5" x14ac:dyDescent="0.35">
      <c r="E31" s="58" t="s">
        <v>292</v>
      </c>
    </row>
    <row r="32" spans="5:5" x14ac:dyDescent="0.35">
      <c r="E32" s="59" t="s">
        <v>293</v>
      </c>
    </row>
    <row r="33" spans="5:5" x14ac:dyDescent="0.35">
      <c r="E33" s="59" t="s">
        <v>294</v>
      </c>
    </row>
    <row r="34" spans="5:5" x14ac:dyDescent="0.35">
      <c r="E34" s="59" t="s">
        <v>295</v>
      </c>
    </row>
    <row r="35" spans="5:5" x14ac:dyDescent="0.35">
      <c r="E35" s="59" t="s">
        <v>296</v>
      </c>
    </row>
    <row r="36" spans="5:5" x14ac:dyDescent="0.35">
      <c r="E36" s="59" t="s">
        <v>297</v>
      </c>
    </row>
    <row r="37" spans="5:5" x14ac:dyDescent="0.35">
      <c r="E37" s="59" t="s">
        <v>298</v>
      </c>
    </row>
    <row r="38" spans="5:5" x14ac:dyDescent="0.35">
      <c r="E38" s="59" t="s">
        <v>299</v>
      </c>
    </row>
    <row r="39" spans="5:5" x14ac:dyDescent="0.35">
      <c r="E39" s="59" t="s">
        <v>300</v>
      </c>
    </row>
    <row r="40" spans="5:5" x14ac:dyDescent="0.35">
      <c r="E40" s="59" t="s">
        <v>301</v>
      </c>
    </row>
    <row r="41" spans="5:5" x14ac:dyDescent="0.35">
      <c r="E41" s="59" t="s">
        <v>302</v>
      </c>
    </row>
    <row r="42" spans="5:5" x14ac:dyDescent="0.35">
      <c r="E42" s="59" t="s">
        <v>303</v>
      </c>
    </row>
    <row r="43" spans="5:5" x14ac:dyDescent="0.35">
      <c r="E43" s="59" t="s">
        <v>304</v>
      </c>
    </row>
    <row r="44" spans="5:5" x14ac:dyDescent="0.35">
      <c r="E44" s="59" t="s">
        <v>305</v>
      </c>
    </row>
    <row r="45" spans="5:5" x14ac:dyDescent="0.35">
      <c r="E45" s="59" t="s">
        <v>306</v>
      </c>
    </row>
    <row r="46" spans="5:5" x14ac:dyDescent="0.35">
      <c r="E46" s="59" t="s">
        <v>307</v>
      </c>
    </row>
    <row r="47" spans="5:5" x14ac:dyDescent="0.35">
      <c r="E47" s="59" t="s">
        <v>308</v>
      </c>
    </row>
    <row r="48" spans="5:5" x14ac:dyDescent="0.35">
      <c r="E48" s="59" t="s">
        <v>310</v>
      </c>
    </row>
    <row r="49" spans="5:5" x14ac:dyDescent="0.35">
      <c r="E49" s="59" t="s">
        <v>311</v>
      </c>
    </row>
    <row r="50" spans="5:5" x14ac:dyDescent="0.35">
      <c r="E50" s="1" t="s">
        <v>314</v>
      </c>
    </row>
    <row r="51" spans="5:5" x14ac:dyDescent="0.35">
      <c r="E51" s="1" t="s">
        <v>315</v>
      </c>
    </row>
    <row r="52" spans="5:5" x14ac:dyDescent="0.35">
      <c r="E52" s="1" t="s">
        <v>316</v>
      </c>
    </row>
    <row r="53" spans="5:5" x14ac:dyDescent="0.3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17"/>
  <sheetViews>
    <sheetView workbookViewId="0">
      <selection activeCell="P25" sqref="P25"/>
    </sheetView>
  </sheetViews>
  <sheetFormatPr defaultRowHeight="14.5" x14ac:dyDescent="0.35"/>
  <cols>
    <col min="1" max="1" width="21.1796875" bestFit="1" customWidth="1"/>
    <col min="2" max="2" width="26.1796875" style="3" customWidth="1"/>
    <col min="3" max="3" width="38.7265625" style="3" bestFit="1" customWidth="1"/>
    <col min="4" max="4" width="38.7265625" style="3" customWidth="1"/>
    <col min="5" max="5" width="16.7265625" bestFit="1" customWidth="1"/>
    <col min="6" max="6" width="11.1796875" bestFit="1" customWidth="1"/>
    <col min="7" max="7" width="12.26953125" bestFit="1" customWidth="1"/>
    <col min="8" max="8" width="15.1796875" bestFit="1" customWidth="1"/>
    <col min="9" max="9" width="10.453125" customWidth="1"/>
    <col min="10" max="15" width="11.453125" customWidth="1"/>
  </cols>
  <sheetData>
    <row r="1" spans="1:15" x14ac:dyDescent="0.35">
      <c r="A1" t="s">
        <v>88</v>
      </c>
      <c r="B1" s="3" t="s">
        <v>89</v>
      </c>
      <c r="C1" s="3" t="s">
        <v>90</v>
      </c>
      <c r="D1" s="3" t="s">
        <v>91</v>
      </c>
      <c r="E1" t="s">
        <v>92</v>
      </c>
      <c r="F1" t="s">
        <v>93</v>
      </c>
      <c r="G1" t="s">
        <v>94</v>
      </c>
      <c r="H1" t="s">
        <v>95</v>
      </c>
      <c r="I1" t="s">
        <v>96</v>
      </c>
      <c r="J1" t="s">
        <v>97</v>
      </c>
      <c r="K1" t="s">
        <v>98</v>
      </c>
      <c r="L1" t="s">
        <v>99</v>
      </c>
      <c r="M1" t="s">
        <v>100</v>
      </c>
      <c r="N1" t="s">
        <v>281</v>
      </c>
      <c r="O1" t="s">
        <v>101</v>
      </c>
    </row>
    <row r="2" spans="1:15" ht="38.5" x14ac:dyDescent="0.35">
      <c r="A2" t="s">
        <v>244</v>
      </c>
      <c r="B2" s="3" t="s">
        <v>2</v>
      </c>
      <c r="C2" s="4" t="s">
        <v>39</v>
      </c>
      <c r="D2" s="4" t="s">
        <v>40</v>
      </c>
      <c r="E2" s="4" t="s">
        <v>9</v>
      </c>
      <c r="F2" s="4" t="s">
        <v>41</v>
      </c>
      <c r="G2" s="4" t="s">
        <v>12</v>
      </c>
      <c r="H2" s="3" t="s">
        <v>83</v>
      </c>
      <c r="I2" s="3"/>
      <c r="J2" s="3"/>
      <c r="K2" s="3"/>
      <c r="L2" s="3"/>
      <c r="M2" s="3"/>
      <c r="N2" s="3"/>
      <c r="O2" s="3"/>
    </row>
    <row r="3" spans="1:15" x14ac:dyDescent="0.35">
      <c r="B3" s="3" t="s">
        <v>24</v>
      </c>
      <c r="C3" s="5" t="s">
        <v>31</v>
      </c>
      <c r="D3" s="5" t="s">
        <v>42</v>
      </c>
      <c r="E3" s="5" t="s">
        <v>43</v>
      </c>
      <c r="F3" s="5" t="s">
        <v>44</v>
      </c>
      <c r="G3" s="5" t="s">
        <v>45</v>
      </c>
      <c r="H3" s="5" t="s">
        <v>9</v>
      </c>
      <c r="I3" s="5" t="s">
        <v>46</v>
      </c>
      <c r="J3" s="5" t="s">
        <v>47</v>
      </c>
      <c r="K3" s="5" t="s">
        <v>48</v>
      </c>
      <c r="L3" s="3" t="s">
        <v>232</v>
      </c>
      <c r="M3" s="3"/>
      <c r="N3" s="3"/>
      <c r="O3" s="3"/>
    </row>
    <row r="4" spans="1:15" x14ac:dyDescent="0.35">
      <c r="B4" s="3" t="s">
        <v>71</v>
      </c>
      <c r="C4" s="5" t="s">
        <v>241</v>
      </c>
      <c r="D4" s="5" t="s">
        <v>83</v>
      </c>
      <c r="E4" s="5" t="s">
        <v>242</v>
      </c>
      <c r="F4" s="5"/>
      <c r="G4" s="5"/>
      <c r="H4" s="5"/>
      <c r="I4" s="5"/>
      <c r="J4" s="5"/>
      <c r="K4" s="5"/>
      <c r="L4" s="3"/>
      <c r="M4" s="3"/>
      <c r="N4" s="3"/>
      <c r="O4" s="3"/>
    </row>
    <row r="5" spans="1:15" x14ac:dyDescent="0.35">
      <c r="A5" t="s">
        <v>3</v>
      </c>
      <c r="B5" s="3" t="s">
        <v>3</v>
      </c>
      <c r="C5" s="5" t="s">
        <v>10</v>
      </c>
      <c r="D5" s="5" t="s">
        <v>177</v>
      </c>
      <c r="E5" s="5" t="s">
        <v>72</v>
      </c>
      <c r="F5" s="5" t="s">
        <v>73</v>
      </c>
      <c r="G5" s="5" t="s">
        <v>74</v>
      </c>
      <c r="H5" s="5" t="s">
        <v>75</v>
      </c>
      <c r="I5" s="5" t="s">
        <v>76</v>
      </c>
      <c r="J5" s="5" t="s">
        <v>77</v>
      </c>
      <c r="K5" s="5" t="s">
        <v>78</v>
      </c>
      <c r="L5" s="5" t="s">
        <v>79</v>
      </c>
      <c r="M5" s="3" t="s">
        <v>80</v>
      </c>
      <c r="N5" s="3" t="s">
        <v>81</v>
      </c>
      <c r="O5" s="3" t="s">
        <v>82</v>
      </c>
    </row>
    <row r="6" spans="1:15" x14ac:dyDescent="0.35">
      <c r="A6" t="s">
        <v>217</v>
      </c>
      <c r="B6" s="3" t="s">
        <v>217</v>
      </c>
    </row>
    <row r="11" spans="1:15" x14ac:dyDescent="0.35">
      <c r="A11" s="3" t="s">
        <v>2</v>
      </c>
      <c r="B11" s="3" t="s">
        <v>317</v>
      </c>
    </row>
    <row r="12" spans="1:15" x14ac:dyDescent="0.35">
      <c r="A12" s="3" t="s">
        <v>24</v>
      </c>
      <c r="B12" s="3" t="s">
        <v>318</v>
      </c>
    </row>
    <row r="13" spans="1:15" x14ac:dyDescent="0.35">
      <c r="A13" s="3" t="s">
        <v>71</v>
      </c>
      <c r="B13" s="3" t="s">
        <v>319</v>
      </c>
    </row>
    <row r="14" spans="1:15" x14ac:dyDescent="0.35">
      <c r="A14" s="3" t="s">
        <v>277</v>
      </c>
      <c r="B14" s="3" t="s">
        <v>319</v>
      </c>
    </row>
    <row r="15" spans="1:15" x14ac:dyDescent="0.35">
      <c r="A15" s="3" t="s">
        <v>312</v>
      </c>
      <c r="B15" s="3" t="s">
        <v>319</v>
      </c>
    </row>
    <row r="16" spans="1:15" x14ac:dyDescent="0.35">
      <c r="A16" s="3" t="s">
        <v>313</v>
      </c>
      <c r="B16" s="3" t="s">
        <v>319</v>
      </c>
    </row>
    <row r="17" spans="1:2" x14ac:dyDescent="0.35">
      <c r="A17" s="3" t="s">
        <v>3</v>
      </c>
      <c r="B17" s="3" t="s">
        <v>320</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topLeftCell="A6" workbookViewId="0">
      <selection activeCell="P25" sqref="P25"/>
    </sheetView>
  </sheetViews>
  <sheetFormatPr defaultRowHeight="14.5" x14ac:dyDescent="0.35"/>
  <cols>
    <col min="1" max="1" width="21.1796875" bestFit="1" customWidth="1"/>
    <col min="2" max="2" width="35.7265625" customWidth="1"/>
    <col min="3" max="6" width="10.453125" customWidth="1"/>
    <col min="7" max="7" width="20.54296875" bestFit="1" customWidth="1"/>
    <col min="8" max="9" width="10.453125" customWidth="1"/>
    <col min="10" max="18" width="11.453125" customWidth="1"/>
  </cols>
  <sheetData>
    <row r="1" spans="1:19" x14ac:dyDescent="0.35">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x14ac:dyDescent="0.35">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x14ac:dyDescent="0.35">
      <c r="A3" t="s">
        <v>53</v>
      </c>
      <c r="B3" s="11" t="s">
        <v>58</v>
      </c>
      <c r="C3" s="11" t="s">
        <v>59</v>
      </c>
      <c r="D3" s="11" t="s">
        <v>27</v>
      </c>
      <c r="E3" s="11" t="s">
        <v>11</v>
      </c>
      <c r="F3" s="3" t="s">
        <v>246</v>
      </c>
      <c r="G3" s="3" t="s">
        <v>28</v>
      </c>
      <c r="H3" s="3" t="s">
        <v>63</v>
      </c>
      <c r="I3" s="3" t="s">
        <v>62</v>
      </c>
      <c r="J3" s="3" t="s">
        <v>61</v>
      </c>
      <c r="K3" s="3" t="s">
        <v>60</v>
      </c>
      <c r="L3" s="3"/>
    </row>
    <row r="4" spans="1:19" x14ac:dyDescent="0.35">
      <c r="A4" t="s">
        <v>54</v>
      </c>
      <c r="B4" s="3" t="s">
        <v>69</v>
      </c>
      <c r="C4" s="3" t="s">
        <v>70</v>
      </c>
      <c r="D4" s="3" t="s">
        <v>68</v>
      </c>
      <c r="E4" s="3" t="s">
        <v>64</v>
      </c>
      <c r="F4" s="3" t="s">
        <v>65</v>
      </c>
      <c r="G4" s="3" t="s">
        <v>66</v>
      </c>
      <c r="H4" s="3" t="s">
        <v>67</v>
      </c>
      <c r="I4" s="11" t="s">
        <v>58</v>
      </c>
      <c r="J4" s="11" t="s">
        <v>59</v>
      </c>
      <c r="K4" s="11" t="s">
        <v>27</v>
      </c>
      <c r="L4" s="11" t="s">
        <v>11</v>
      </c>
      <c r="M4" s="3" t="s">
        <v>246</v>
      </c>
      <c r="N4" s="3"/>
    </row>
    <row r="5" spans="1:19" x14ac:dyDescent="0.35">
      <c r="A5" t="s">
        <v>55</v>
      </c>
      <c r="B5" s="3" t="s">
        <v>69</v>
      </c>
      <c r="C5" s="3" t="s">
        <v>70</v>
      </c>
      <c r="D5" s="3" t="s">
        <v>68</v>
      </c>
      <c r="E5" s="3" t="s">
        <v>64</v>
      </c>
      <c r="F5" s="3" t="s">
        <v>65</v>
      </c>
      <c r="G5" s="3" t="s">
        <v>66</v>
      </c>
      <c r="H5" s="3" t="s">
        <v>67</v>
      </c>
      <c r="I5" s="3" t="s">
        <v>28</v>
      </c>
      <c r="J5" s="3" t="s">
        <v>63</v>
      </c>
      <c r="K5" s="3" t="s">
        <v>62</v>
      </c>
      <c r="L5" s="3" t="s">
        <v>61</v>
      </c>
      <c r="M5" s="3" t="s">
        <v>60</v>
      </c>
      <c r="N5" s="3"/>
    </row>
    <row r="6" spans="1:19" x14ac:dyDescent="0.35">
      <c r="A6" t="s">
        <v>56</v>
      </c>
      <c r="B6" s="11" t="s">
        <v>58</v>
      </c>
      <c r="C6" s="11" t="s">
        <v>59</v>
      </c>
      <c r="D6" s="11" t="s">
        <v>27</v>
      </c>
      <c r="E6" s="11" t="s">
        <v>11</v>
      </c>
      <c r="F6" s="3" t="s">
        <v>246</v>
      </c>
    </row>
    <row r="7" spans="1:19" x14ac:dyDescent="0.35">
      <c r="A7" t="s">
        <v>57</v>
      </c>
      <c r="B7" s="3" t="s">
        <v>28</v>
      </c>
      <c r="C7" s="3" t="s">
        <v>63</v>
      </c>
      <c r="D7" s="3" t="s">
        <v>62</v>
      </c>
      <c r="E7" s="3" t="s">
        <v>61</v>
      </c>
      <c r="F7" s="3" t="s">
        <v>60</v>
      </c>
    </row>
    <row r="8" spans="1:19" x14ac:dyDescent="0.35">
      <c r="A8" t="s">
        <v>3</v>
      </c>
      <c r="B8" s="3" t="s">
        <v>68</v>
      </c>
      <c r="C8" s="3" t="s">
        <v>69</v>
      </c>
      <c r="D8" s="3" t="s">
        <v>70</v>
      </c>
      <c r="E8" s="3" t="s">
        <v>67</v>
      </c>
      <c r="F8" s="3" t="s">
        <v>64</v>
      </c>
      <c r="G8" s="3" t="s">
        <v>65</v>
      </c>
      <c r="H8" s="3" t="s">
        <v>66</v>
      </c>
      <c r="I8" s="3"/>
      <c r="J8" s="3"/>
      <c r="K8" s="3"/>
    </row>
    <row r="9" spans="1:19" x14ac:dyDescent="0.35">
      <c r="A9" t="s">
        <v>33</v>
      </c>
      <c r="B9" s="3" t="s">
        <v>34</v>
      </c>
      <c r="C9" s="3" t="s">
        <v>109</v>
      </c>
      <c r="D9" s="3" t="s">
        <v>108</v>
      </c>
      <c r="E9" s="3" t="s">
        <v>110</v>
      </c>
      <c r="F9" s="3"/>
      <c r="G9" s="3"/>
      <c r="H9" s="3"/>
      <c r="I9" s="3"/>
    </row>
    <row r="10" spans="1:19" x14ac:dyDescent="0.35">
      <c r="A10" t="s">
        <v>133</v>
      </c>
      <c r="B10" s="3" t="s">
        <v>11</v>
      </c>
      <c r="C10" s="3" t="s">
        <v>246</v>
      </c>
      <c r="D10" s="3" t="s">
        <v>59</v>
      </c>
      <c r="E10" s="3" t="s">
        <v>58</v>
      </c>
      <c r="F10" s="3" t="s">
        <v>27</v>
      </c>
      <c r="G10" s="3"/>
      <c r="H10" s="3"/>
      <c r="I10" s="3"/>
    </row>
    <row r="11" spans="1:19" x14ac:dyDescent="0.35">
      <c r="B11" s="3"/>
      <c r="C11" s="3"/>
      <c r="D11" s="3"/>
      <c r="E11" s="3"/>
      <c r="F11" s="3"/>
      <c r="G11" s="3"/>
      <c r="H11" s="3"/>
      <c r="I11" s="3"/>
    </row>
    <row r="12" spans="1:19" x14ac:dyDescent="0.35">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x14ac:dyDescent="0.35">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35">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35">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35">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35">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35">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3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35">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35">
      <c r="B21" s="3"/>
      <c r="C21" s="3"/>
      <c r="D21" s="3"/>
      <c r="E21" s="3"/>
      <c r="F21" s="3"/>
      <c r="G21" s="3"/>
      <c r="H21" s="3"/>
      <c r="I21" s="3"/>
    </row>
    <row r="22" spans="1:23" x14ac:dyDescent="0.35">
      <c r="A22" s="9" t="s">
        <v>88</v>
      </c>
      <c r="B22" s="9" t="s">
        <v>89</v>
      </c>
      <c r="C22" s="10" t="s">
        <v>90</v>
      </c>
    </row>
    <row r="23" spans="1:23" x14ac:dyDescent="0.35">
      <c r="B23" t="s">
        <v>88</v>
      </c>
      <c r="C23" s="3" t="s">
        <v>89</v>
      </c>
      <c r="G23" s="3"/>
      <c r="H23" s="3"/>
      <c r="I23" s="3"/>
      <c r="J23" s="3"/>
      <c r="K23" s="3"/>
      <c r="L23" s="3"/>
      <c r="M23" s="3"/>
      <c r="N23" s="3"/>
      <c r="O23" s="3"/>
      <c r="P23" s="3"/>
      <c r="Q23" s="3"/>
      <c r="R23" s="3"/>
      <c r="S23" s="3"/>
      <c r="T23" s="3"/>
      <c r="U23" s="3"/>
      <c r="V23" s="3"/>
      <c r="W23" s="3"/>
    </row>
    <row r="24" spans="1:23" x14ac:dyDescent="0.35">
      <c r="A24" s="2" t="s">
        <v>38</v>
      </c>
      <c r="B24" t="s">
        <v>32</v>
      </c>
      <c r="C24" s="3" t="s">
        <v>56</v>
      </c>
      <c r="G24" s="3"/>
      <c r="H24" s="3"/>
      <c r="I24" s="3"/>
      <c r="J24" s="3"/>
    </row>
    <row r="25" spans="1:23" x14ac:dyDescent="0.35">
      <c r="A25" s="2"/>
      <c r="B25" t="s">
        <v>288</v>
      </c>
      <c r="C25" s="3" t="s">
        <v>56</v>
      </c>
      <c r="G25" s="3"/>
      <c r="H25" s="3"/>
      <c r="I25" s="3"/>
      <c r="J25" s="3"/>
    </row>
    <row r="26" spans="1:23" x14ac:dyDescent="0.35">
      <c r="A26" s="2" t="s">
        <v>230</v>
      </c>
      <c r="B26" t="s">
        <v>231</v>
      </c>
      <c r="C26" s="3" t="s">
        <v>56</v>
      </c>
      <c r="F26" t="s">
        <v>2</v>
      </c>
      <c r="G26" s="3" t="s">
        <v>331</v>
      </c>
      <c r="H26" s="3"/>
      <c r="I26" s="3"/>
      <c r="J26" s="3"/>
    </row>
    <row r="27" spans="1:23" x14ac:dyDescent="0.35">
      <c r="A27" s="2" t="s">
        <v>244</v>
      </c>
      <c r="B27" t="s">
        <v>2</v>
      </c>
      <c r="C27" t="s">
        <v>52</v>
      </c>
      <c r="F27" s="1" t="s">
        <v>24</v>
      </c>
      <c r="G27" s="3" t="s">
        <v>331</v>
      </c>
    </row>
    <row r="28" spans="1:23" x14ac:dyDescent="0.35">
      <c r="A28" s="2"/>
      <c r="B28" t="s">
        <v>3</v>
      </c>
      <c r="C28" t="s">
        <v>3</v>
      </c>
      <c r="F28" s="1" t="s">
        <v>22</v>
      </c>
      <c r="G28" s="3" t="s">
        <v>331</v>
      </c>
    </row>
    <row r="29" spans="1:23" x14ac:dyDescent="0.35">
      <c r="A29" s="2"/>
      <c r="B29" s="1" t="s">
        <v>24</v>
      </c>
      <c r="C29" t="s">
        <v>52</v>
      </c>
      <c r="F29" s="1" t="s">
        <v>309</v>
      </c>
      <c r="G29" s="3" t="s">
        <v>331</v>
      </c>
      <c r="H29" s="3"/>
      <c r="I29" s="3"/>
      <c r="J29" s="3"/>
      <c r="K29" s="3"/>
      <c r="L29" s="3"/>
    </row>
    <row r="30" spans="1:23" x14ac:dyDescent="0.35">
      <c r="A30" s="2"/>
      <c r="B30" s="1" t="s">
        <v>22</v>
      </c>
      <c r="C30" t="s">
        <v>52</v>
      </c>
      <c r="F30" s="1" t="s">
        <v>71</v>
      </c>
      <c r="G30" s="3" t="s">
        <v>331</v>
      </c>
      <c r="H30" s="3"/>
      <c r="I30" s="3"/>
      <c r="J30" s="3"/>
      <c r="K30" s="3"/>
      <c r="L30" s="3"/>
    </row>
    <row r="31" spans="1:23" x14ac:dyDescent="0.35">
      <c r="A31" s="2"/>
      <c r="B31" s="1" t="s">
        <v>309</v>
      </c>
      <c r="C31" t="s">
        <v>52</v>
      </c>
      <c r="F31" s="1" t="s">
        <v>276</v>
      </c>
      <c r="G31" s="3" t="s">
        <v>331</v>
      </c>
      <c r="H31" s="3"/>
      <c r="I31" s="3"/>
      <c r="J31" s="3"/>
      <c r="K31" s="3"/>
      <c r="L31" s="3"/>
    </row>
    <row r="32" spans="1:23" x14ac:dyDescent="0.35">
      <c r="A32" s="2"/>
      <c r="B32" s="1" t="s">
        <v>71</v>
      </c>
      <c r="C32" t="s">
        <v>52</v>
      </c>
      <c r="F32" s="1" t="s">
        <v>277</v>
      </c>
      <c r="G32" s="3" t="s">
        <v>331</v>
      </c>
      <c r="H32" s="3"/>
      <c r="I32" s="3"/>
      <c r="J32" s="3"/>
      <c r="K32" s="3"/>
      <c r="L32" s="3"/>
    </row>
    <row r="33" spans="1:7" x14ac:dyDescent="0.35">
      <c r="A33" s="2"/>
      <c r="B33" s="1" t="s">
        <v>276</v>
      </c>
      <c r="C33" t="s">
        <v>52</v>
      </c>
      <c r="F33" t="s">
        <v>312</v>
      </c>
      <c r="G33" s="3" t="s">
        <v>331</v>
      </c>
    </row>
    <row r="34" spans="1:7" x14ac:dyDescent="0.35">
      <c r="A34" s="2"/>
      <c r="B34" s="1" t="s">
        <v>277</v>
      </c>
      <c r="C34" t="s">
        <v>52</v>
      </c>
      <c r="F34" t="s">
        <v>313</v>
      </c>
      <c r="G34" s="3" t="s">
        <v>331</v>
      </c>
    </row>
    <row r="35" spans="1:7" x14ac:dyDescent="0.35">
      <c r="A35" s="2"/>
      <c r="B35" t="s">
        <v>312</v>
      </c>
      <c r="C35" t="s">
        <v>52</v>
      </c>
      <c r="F35" s="1" t="s">
        <v>87</v>
      </c>
      <c r="G35" s="3" t="s">
        <v>331</v>
      </c>
    </row>
    <row r="36" spans="1:7" x14ac:dyDescent="0.35">
      <c r="A36" s="2"/>
      <c r="B36" t="s">
        <v>313</v>
      </c>
      <c r="C36" t="s">
        <v>52</v>
      </c>
      <c r="F36" t="s">
        <v>29</v>
      </c>
      <c r="G36" s="3" t="s">
        <v>332</v>
      </c>
    </row>
    <row r="37" spans="1:7" x14ac:dyDescent="0.35">
      <c r="A37" s="2"/>
      <c r="B37" s="1" t="s">
        <v>87</v>
      </c>
      <c r="C37" t="s">
        <v>52</v>
      </c>
      <c r="G37" s="3"/>
    </row>
    <row r="38" spans="1:7" x14ac:dyDescent="0.35">
      <c r="A38" s="2" t="s">
        <v>37</v>
      </c>
      <c r="B38" t="s">
        <v>13</v>
      </c>
      <c r="C38" t="s">
        <v>56</v>
      </c>
    </row>
    <row r="39" spans="1:7" x14ac:dyDescent="0.35">
      <c r="A39" s="2"/>
      <c r="B39" s="1" t="s">
        <v>14</v>
      </c>
      <c r="C39" t="s">
        <v>56</v>
      </c>
    </row>
    <row r="40" spans="1:7" x14ac:dyDescent="0.35">
      <c r="A40" s="2"/>
      <c r="B40" s="1" t="s">
        <v>15</v>
      </c>
      <c r="C40" t="s">
        <v>56</v>
      </c>
    </row>
    <row r="41" spans="1:7" x14ac:dyDescent="0.35">
      <c r="A41" s="2"/>
      <c r="B41" s="1" t="s">
        <v>16</v>
      </c>
      <c r="C41" t="s">
        <v>56</v>
      </c>
    </row>
    <row r="42" spans="1:7" x14ac:dyDescent="0.35">
      <c r="A42" s="2"/>
      <c r="B42" s="1" t="s">
        <v>17</v>
      </c>
      <c r="C42" t="s">
        <v>56</v>
      </c>
    </row>
    <row r="43" spans="1:7" x14ac:dyDescent="0.35">
      <c r="A43" s="2"/>
      <c r="B43" s="1" t="s">
        <v>18</v>
      </c>
      <c r="C43" t="s">
        <v>56</v>
      </c>
    </row>
    <row r="44" spans="1:7" x14ac:dyDescent="0.35">
      <c r="A44" s="2"/>
      <c r="B44" s="1" t="s">
        <v>19</v>
      </c>
      <c r="C44" t="s">
        <v>56</v>
      </c>
    </row>
    <row r="45" spans="1:7" x14ac:dyDescent="0.35">
      <c r="A45" s="2"/>
      <c r="B45" s="1" t="s">
        <v>20</v>
      </c>
      <c r="C45" t="s">
        <v>56</v>
      </c>
    </row>
    <row r="46" spans="1:7" x14ac:dyDescent="0.35">
      <c r="A46" s="2"/>
      <c r="B46" s="1" t="s">
        <v>21</v>
      </c>
      <c r="C46" t="s">
        <v>56</v>
      </c>
    </row>
    <row r="47" spans="1:7" x14ac:dyDescent="0.35">
      <c r="A47" s="2"/>
      <c r="B47" s="1" t="s">
        <v>106</v>
      </c>
      <c r="C47" t="s">
        <v>56</v>
      </c>
    </row>
    <row r="48" spans="1:7" x14ac:dyDescent="0.35">
      <c r="A48" s="2"/>
      <c r="B48" s="1" t="s">
        <v>36</v>
      </c>
      <c r="C48" t="s">
        <v>56</v>
      </c>
    </row>
    <row r="49" spans="1:3" x14ac:dyDescent="0.35">
      <c r="A49" s="2"/>
      <c r="B49" s="1" t="s">
        <v>23</v>
      </c>
      <c r="C49" t="s">
        <v>56</v>
      </c>
    </row>
    <row r="50" spans="1:3" x14ac:dyDescent="0.35">
      <c r="A50" s="2"/>
      <c r="B50" s="1" t="s">
        <v>25</v>
      </c>
      <c r="C50" t="s">
        <v>56</v>
      </c>
    </row>
    <row r="51" spans="1:3" x14ac:dyDescent="0.35">
      <c r="A51" s="2"/>
      <c r="B51" t="s">
        <v>26</v>
      </c>
      <c r="C51" t="s">
        <v>56</v>
      </c>
    </row>
    <row r="52" spans="1:3" x14ac:dyDescent="0.35">
      <c r="A52" s="2"/>
      <c r="B52" t="s">
        <v>30</v>
      </c>
      <c r="C52" t="s">
        <v>56</v>
      </c>
    </row>
    <row r="53" spans="1:3" x14ac:dyDescent="0.35">
      <c r="B53" t="s">
        <v>21</v>
      </c>
      <c r="C53" t="s">
        <v>56</v>
      </c>
    </row>
    <row r="54" spans="1:3" x14ac:dyDescent="0.35">
      <c r="B54" t="s">
        <v>20</v>
      </c>
      <c r="C54" t="s">
        <v>56</v>
      </c>
    </row>
    <row r="55" spans="1:3" x14ac:dyDescent="0.35">
      <c r="B55" t="s">
        <v>36</v>
      </c>
      <c r="C55" t="s">
        <v>56</v>
      </c>
    </row>
    <row r="56" spans="1:3" x14ac:dyDescent="0.35">
      <c r="B56" t="s">
        <v>25</v>
      </c>
      <c r="C56" t="s">
        <v>56</v>
      </c>
    </row>
    <row r="57" spans="1:3" x14ac:dyDescent="0.35">
      <c r="B57" t="s">
        <v>51</v>
      </c>
      <c r="C57" t="s">
        <v>56</v>
      </c>
    </row>
    <row r="58" spans="1:3" x14ac:dyDescent="0.35">
      <c r="B58" t="s">
        <v>233</v>
      </c>
      <c r="C58" t="s">
        <v>56</v>
      </c>
    </row>
    <row r="59" spans="1:3" x14ac:dyDescent="0.35">
      <c r="B59" t="s">
        <v>234</v>
      </c>
      <c r="C59" t="s">
        <v>56</v>
      </c>
    </row>
    <row r="60" spans="1:3" x14ac:dyDescent="0.35">
      <c r="B60" t="s">
        <v>50</v>
      </c>
      <c r="C60" t="s">
        <v>56</v>
      </c>
    </row>
    <row r="61" spans="1:3" x14ac:dyDescent="0.35">
      <c r="B61" t="s">
        <v>235</v>
      </c>
      <c r="C61" t="s">
        <v>56</v>
      </c>
    </row>
    <row r="62" spans="1:3" x14ac:dyDescent="0.35">
      <c r="B62" t="s">
        <v>236</v>
      </c>
      <c r="C62" t="s">
        <v>56</v>
      </c>
    </row>
    <row r="63" spans="1:3" x14ac:dyDescent="0.35">
      <c r="B63" t="s">
        <v>237</v>
      </c>
      <c r="C63" t="s">
        <v>56</v>
      </c>
    </row>
    <row r="64" spans="1:3" x14ac:dyDescent="0.35">
      <c r="B64" s="52" t="s">
        <v>287</v>
      </c>
      <c r="C64" s="52" t="s">
        <v>56</v>
      </c>
    </row>
    <row r="65" spans="2:3" x14ac:dyDescent="0.35">
      <c r="B65" s="54" t="s">
        <v>15</v>
      </c>
      <c r="C65" s="52" t="s">
        <v>56</v>
      </c>
    </row>
    <row r="66" spans="2:3" x14ac:dyDescent="0.35">
      <c r="B66" s="54" t="s">
        <v>290</v>
      </c>
      <c r="C66" s="52" t="s">
        <v>56</v>
      </c>
    </row>
    <row r="67" spans="2:3" x14ac:dyDescent="0.35">
      <c r="B67" s="55" t="s">
        <v>291</v>
      </c>
      <c r="C67" s="52" t="s">
        <v>56</v>
      </c>
    </row>
    <row r="68" spans="2:3" x14ac:dyDescent="0.35">
      <c r="B68" s="55" t="s">
        <v>292</v>
      </c>
      <c r="C68" s="52" t="s">
        <v>56</v>
      </c>
    </row>
    <row r="69" spans="2:3" x14ac:dyDescent="0.35">
      <c r="B69" s="56" t="s">
        <v>293</v>
      </c>
      <c r="C69" s="52" t="s">
        <v>56</v>
      </c>
    </row>
    <row r="70" spans="2:3" x14ac:dyDescent="0.35">
      <c r="B70" s="56" t="s">
        <v>294</v>
      </c>
      <c r="C70" s="52" t="s">
        <v>56</v>
      </c>
    </row>
    <row r="71" spans="2:3" x14ac:dyDescent="0.35">
      <c r="B71" s="56" t="s">
        <v>295</v>
      </c>
      <c r="C71" s="52" t="s">
        <v>56</v>
      </c>
    </row>
    <row r="72" spans="2:3" x14ac:dyDescent="0.35">
      <c r="B72" s="56" t="s">
        <v>296</v>
      </c>
      <c r="C72" s="52" t="s">
        <v>56</v>
      </c>
    </row>
    <row r="73" spans="2:3" x14ac:dyDescent="0.35">
      <c r="B73" s="56" t="s">
        <v>297</v>
      </c>
      <c r="C73" s="52" t="s">
        <v>56</v>
      </c>
    </row>
    <row r="74" spans="2:3" x14ac:dyDescent="0.35">
      <c r="B74" s="56" t="s">
        <v>298</v>
      </c>
      <c r="C74" s="52" t="s">
        <v>56</v>
      </c>
    </row>
    <row r="75" spans="2:3" x14ac:dyDescent="0.35">
      <c r="B75" s="56" t="s">
        <v>299</v>
      </c>
      <c r="C75" s="52" t="s">
        <v>56</v>
      </c>
    </row>
    <row r="76" spans="2:3" x14ac:dyDescent="0.35">
      <c r="B76" s="56" t="s">
        <v>300</v>
      </c>
      <c r="C76" s="52" t="s">
        <v>56</v>
      </c>
    </row>
    <row r="77" spans="2:3" x14ac:dyDescent="0.35">
      <c r="B77" s="56" t="s">
        <v>301</v>
      </c>
      <c r="C77" s="52" t="s">
        <v>56</v>
      </c>
    </row>
    <row r="78" spans="2:3" x14ac:dyDescent="0.35">
      <c r="B78" s="56" t="s">
        <v>302</v>
      </c>
      <c r="C78" s="52" t="s">
        <v>56</v>
      </c>
    </row>
    <row r="79" spans="2:3" x14ac:dyDescent="0.35">
      <c r="B79" s="56" t="s">
        <v>303</v>
      </c>
      <c r="C79" s="52" t="s">
        <v>56</v>
      </c>
    </row>
    <row r="80" spans="2:3" x14ac:dyDescent="0.35">
      <c r="B80" s="56" t="s">
        <v>304</v>
      </c>
      <c r="C80" s="52" t="s">
        <v>56</v>
      </c>
    </row>
    <row r="81" spans="1:3" x14ac:dyDescent="0.35">
      <c r="B81" s="56" t="s">
        <v>305</v>
      </c>
      <c r="C81" s="52" t="s">
        <v>56</v>
      </c>
    </row>
    <row r="82" spans="1:3" x14ac:dyDescent="0.35">
      <c r="B82" s="56" t="s">
        <v>306</v>
      </c>
      <c r="C82" s="52" t="s">
        <v>56</v>
      </c>
    </row>
    <row r="83" spans="1:3" x14ac:dyDescent="0.35">
      <c r="B83" s="56" t="s">
        <v>307</v>
      </c>
      <c r="C83" s="52" t="s">
        <v>56</v>
      </c>
    </row>
    <row r="84" spans="1:3" x14ac:dyDescent="0.35">
      <c r="B84" s="56" t="s">
        <v>308</v>
      </c>
      <c r="C84" s="52" t="s">
        <v>56</v>
      </c>
    </row>
    <row r="85" spans="1:3" x14ac:dyDescent="0.35">
      <c r="B85" s="52" t="s">
        <v>310</v>
      </c>
      <c r="C85" s="52" t="s">
        <v>56</v>
      </c>
    </row>
    <row r="86" spans="1:3" x14ac:dyDescent="0.35">
      <c r="B86" s="52" t="s">
        <v>311</v>
      </c>
      <c r="C86" s="52" t="s">
        <v>56</v>
      </c>
    </row>
    <row r="87" spans="1:3" x14ac:dyDescent="0.35">
      <c r="B87" s="52" t="s">
        <v>314</v>
      </c>
      <c r="C87" s="52" t="s">
        <v>56</v>
      </c>
    </row>
    <row r="88" spans="1:3" x14ac:dyDescent="0.35">
      <c r="B88" s="52" t="s">
        <v>315</v>
      </c>
      <c r="C88" s="52" t="s">
        <v>56</v>
      </c>
    </row>
    <row r="89" spans="1:3" x14ac:dyDescent="0.35">
      <c r="B89" s="52" t="s">
        <v>316</v>
      </c>
      <c r="C89" s="52" t="s">
        <v>56</v>
      </c>
    </row>
    <row r="90" spans="1:3" x14ac:dyDescent="0.35">
      <c r="B90" t="s">
        <v>238</v>
      </c>
      <c r="C90" t="s">
        <v>56</v>
      </c>
    </row>
    <row r="91" spans="1:3" s="52" customFormat="1" x14ac:dyDescent="0.35">
      <c r="A91" s="53" t="s">
        <v>282</v>
      </c>
      <c r="B91" s="52" t="s">
        <v>283</v>
      </c>
      <c r="C91" s="52" t="s">
        <v>56</v>
      </c>
    </row>
    <row r="92" spans="1:3" s="52" customFormat="1" x14ac:dyDescent="0.35">
      <c r="B92" s="52" t="s">
        <v>284</v>
      </c>
      <c r="C92" s="52" t="s">
        <v>56</v>
      </c>
    </row>
    <row r="93" spans="1:3" s="52" customFormat="1" x14ac:dyDescent="0.35">
      <c r="B93" s="52" t="s">
        <v>285</v>
      </c>
      <c r="C93" s="52" t="s">
        <v>56</v>
      </c>
    </row>
    <row r="94" spans="1:3" s="52" customFormat="1" x14ac:dyDescent="0.35">
      <c r="B94" s="52" t="s">
        <v>286</v>
      </c>
      <c r="C94" s="52" t="s">
        <v>56</v>
      </c>
    </row>
    <row r="95" spans="1:3" x14ac:dyDescent="0.35">
      <c r="A95" s="2" t="s">
        <v>245</v>
      </c>
      <c r="B95" t="s">
        <v>218</v>
      </c>
      <c r="C95" t="s">
        <v>56</v>
      </c>
    </row>
    <row r="96" spans="1:3" x14ac:dyDescent="0.35">
      <c r="B96" t="s">
        <v>219</v>
      </c>
      <c r="C96" t="s">
        <v>56</v>
      </c>
    </row>
    <row r="97" spans="1:3" x14ac:dyDescent="0.35">
      <c r="B97" t="s">
        <v>220</v>
      </c>
      <c r="C97" t="s">
        <v>56</v>
      </c>
    </row>
    <row r="98" spans="1:3" x14ac:dyDescent="0.35">
      <c r="B98" t="s">
        <v>221</v>
      </c>
      <c r="C98" t="s">
        <v>56</v>
      </c>
    </row>
    <row r="99" spans="1:3" x14ac:dyDescent="0.35">
      <c r="B99" t="s">
        <v>222</v>
      </c>
      <c r="C99" t="s">
        <v>56</v>
      </c>
    </row>
    <row r="100" spans="1:3" x14ac:dyDescent="0.35">
      <c r="B100" t="s">
        <v>223</v>
      </c>
      <c r="C100" t="s">
        <v>56</v>
      </c>
    </row>
    <row r="101" spans="1:3" x14ac:dyDescent="0.35">
      <c r="B101" t="s">
        <v>224</v>
      </c>
      <c r="C101" t="s">
        <v>56</v>
      </c>
    </row>
    <row r="102" spans="1:3" x14ac:dyDescent="0.35">
      <c r="B102" t="s">
        <v>225</v>
      </c>
      <c r="C102" t="s">
        <v>56</v>
      </c>
    </row>
    <row r="103" spans="1:3" x14ac:dyDescent="0.35">
      <c r="B103" t="s">
        <v>226</v>
      </c>
      <c r="C103" t="s">
        <v>56</v>
      </c>
    </row>
    <row r="104" spans="1:3" x14ac:dyDescent="0.35">
      <c r="B104" t="s">
        <v>227</v>
      </c>
      <c r="C104" t="s">
        <v>56</v>
      </c>
    </row>
    <row r="105" spans="1:3" x14ac:dyDescent="0.35">
      <c r="B105" t="s">
        <v>228</v>
      </c>
      <c r="C105" t="s">
        <v>56</v>
      </c>
    </row>
    <row r="106" spans="1:3" x14ac:dyDescent="0.35">
      <c r="B106" t="s">
        <v>229</v>
      </c>
      <c r="C106" t="s">
        <v>56</v>
      </c>
    </row>
    <row r="107" spans="1:3" x14ac:dyDescent="0.35">
      <c r="A107" s="2" t="s">
        <v>217</v>
      </c>
      <c r="B107" t="s">
        <v>239</v>
      </c>
      <c r="C107" t="s">
        <v>56</v>
      </c>
    </row>
    <row r="108" spans="1:3" x14ac:dyDescent="0.35">
      <c r="A108" s="2"/>
      <c r="B108" t="s">
        <v>243</v>
      </c>
      <c r="C108" t="s">
        <v>56</v>
      </c>
    </row>
    <row r="109" spans="1:3" x14ac:dyDescent="0.35">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P25" sqref="P25"/>
    </sheetView>
  </sheetViews>
  <sheetFormatPr defaultRowHeight="14.5" x14ac:dyDescent="0.35"/>
  <cols>
    <col min="1" max="1" width="12.1796875" bestFit="1" customWidth="1"/>
    <col min="2" max="2" width="26.453125" bestFit="1" customWidth="1"/>
  </cols>
  <sheetData>
    <row r="1" spans="1:4" x14ac:dyDescent="0.35">
      <c r="A1" s="2" t="s">
        <v>112</v>
      </c>
      <c r="B1" s="2" t="s">
        <v>6</v>
      </c>
      <c r="C1" s="2" t="s">
        <v>123</v>
      </c>
      <c r="D1" s="2" t="s">
        <v>125</v>
      </c>
    </row>
    <row r="2" spans="1:4" x14ac:dyDescent="0.35">
      <c r="B2" t="s">
        <v>0</v>
      </c>
      <c r="D2" t="s">
        <v>126</v>
      </c>
    </row>
    <row r="3" spans="1:4" x14ac:dyDescent="0.35">
      <c r="A3" t="s">
        <v>86</v>
      </c>
      <c r="B3" t="s">
        <v>257</v>
      </c>
      <c r="C3" t="s">
        <v>124</v>
      </c>
      <c r="D3" t="s">
        <v>130</v>
      </c>
    </row>
    <row r="4" spans="1:4" x14ac:dyDescent="0.35">
      <c r="A4" t="s">
        <v>113</v>
      </c>
      <c r="B4" t="s">
        <v>113</v>
      </c>
      <c r="C4" t="s">
        <v>114</v>
      </c>
      <c r="D4" t="s">
        <v>131</v>
      </c>
    </row>
    <row r="5" spans="1:4" x14ac:dyDescent="0.35">
      <c r="A5" t="s">
        <v>85</v>
      </c>
      <c r="B5" t="s">
        <v>85</v>
      </c>
      <c r="D5" t="s">
        <v>132</v>
      </c>
    </row>
    <row r="6" spans="1:4" x14ac:dyDescent="0.35">
      <c r="B6" t="s">
        <v>240</v>
      </c>
      <c r="D6" t="s">
        <v>127</v>
      </c>
    </row>
    <row r="7" spans="1:4" x14ac:dyDescent="0.35">
      <c r="D7" t="s">
        <v>128</v>
      </c>
    </row>
    <row r="8" spans="1:4" x14ac:dyDescent="0.35">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822E5B-A161-421A-8EE4-857452EC4262}">
  <sheetPr codeName="Sheet9"/>
  <dimension ref="A1:T100"/>
  <sheetViews>
    <sheetView tabSelected="1" workbookViewId="0">
      <pane ySplit="5" topLeftCell="A6" activePane="bottomLeft" state="frozen"/>
      <selection activeCell="C19" sqref="C19"/>
      <selection pane="bottomLeft" activeCell="R6" sqref="R6:R10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0</v>
      </c>
      <c r="B6" s="6" t="s">
        <v>230</v>
      </c>
      <c r="C6" s="6" t="s">
        <v>231</v>
      </c>
      <c r="D6" s="6"/>
      <c r="E6" s="12">
        <v>9166.66</v>
      </c>
      <c r="F6" s="6" t="s">
        <v>59</v>
      </c>
      <c r="G6" s="25"/>
      <c r="H6" s="25"/>
      <c r="I6" s="26" t="str">
        <f>IF(Table13[[#This Row],[Type]]="Co-product", "No", "")</f>
        <v/>
      </c>
      <c r="J6" s="25"/>
      <c r="K6" s="6"/>
      <c r="L6" s="6" t="str">
        <f>IF(Table13[[#This Row],[Category]]="Transportation", _xlfn.XLOOKUP(Table13[[#This Row],[Resource]], 'SI - Payload'!$A$10:$A$38,'SI - Payload'!$B$10:$B$38,"",0), "")</f>
        <v/>
      </c>
      <c r="M6" s="6" t="str">
        <f>IF(Table13[[#This Row],[Category]]="Transportation", "ton", "")</f>
        <v/>
      </c>
      <c r="N6" s="6"/>
      <c r="O6" s="6"/>
      <c r="P6" s="6" t="str">
        <f>IF(OR(Table13[[#This Row],[Type]]="Main Product", Table13[[#This Row],[Type]]="Co-Product"), Table13[[#This Row],[Resource]], "")</f>
        <v/>
      </c>
      <c r="Q6" s="6" t="str">
        <f>IF(_xlfn.XLOOKUP($P6,'SI - End Use'!$B$2:$B$6,'SI - End Use'!$C$2:$C$6, "")="", "", _xlfn.XLOOKUP($C6,'SI - End Use'!$B$2:$B$6,'SI - End Use'!$C$2:$C$6, ""))</f>
        <v/>
      </c>
      <c r="R6" s="6"/>
      <c r="S6" s="6"/>
      <c r="T6" s="6"/>
    </row>
    <row r="7" spans="1:20" x14ac:dyDescent="0.35">
      <c r="A7" s="6" t="s">
        <v>0</v>
      </c>
      <c r="B7" s="6" t="s">
        <v>244</v>
      </c>
      <c r="C7" s="6" t="s">
        <v>24</v>
      </c>
      <c r="D7" s="6" t="s">
        <v>31</v>
      </c>
      <c r="E7" s="12">
        <v>229</v>
      </c>
      <c r="F7" s="6" t="s">
        <v>59</v>
      </c>
      <c r="G7" s="25"/>
      <c r="H7" s="25"/>
      <c r="I7" s="26" t="str">
        <f>IF(Table13[[#This Row],[Type]]="Co-product", "No", "")</f>
        <v/>
      </c>
      <c r="J7" s="25"/>
      <c r="K7" s="6"/>
      <c r="L7" s="6" t="str">
        <f>IF(Table13[[#This Row],[Category]]="Transportation", _xlfn.XLOOKUP(Table13[[#This Row],[Resource]], 'SI - Payload'!$A$10:$A$38,'SI - Payload'!$B$10:$B$38,"",0), "")</f>
        <v/>
      </c>
      <c r="M7" s="6" t="str">
        <f>IF(Table13[[#This Row],[Category]]="Transportation", "ton", "")</f>
        <v/>
      </c>
      <c r="N7" s="6"/>
      <c r="O7" s="6"/>
      <c r="P7" s="6" t="str">
        <f>IF(OR(Table13[[#This Row],[Type]]="Main Product", Table13[[#This Row],[Type]]="Co-Product"), Table13[[#This Row],[Resource]], "")</f>
        <v/>
      </c>
      <c r="Q7" s="6" t="str">
        <f>IF(_xlfn.XLOOKUP($P7,'SI - End Use'!$B$2:$B$6,'SI - End Use'!$C$2:$C$6, "")="", "", _xlfn.XLOOKUP($C7,'SI - End Use'!$B$2:$B$6,'SI - End Use'!$C$2:$C$6, ""))</f>
        <v/>
      </c>
      <c r="R7" s="6"/>
      <c r="S7" s="6"/>
      <c r="T7" s="6"/>
    </row>
    <row r="8" spans="1:20" x14ac:dyDescent="0.35">
      <c r="A8" s="6" t="s">
        <v>0</v>
      </c>
      <c r="B8" s="6" t="s">
        <v>3</v>
      </c>
      <c r="C8" s="6" t="s">
        <v>3</v>
      </c>
      <c r="D8" s="6" t="s">
        <v>10</v>
      </c>
      <c r="E8" s="12">
        <v>325.5</v>
      </c>
      <c r="F8" s="6" t="s">
        <v>68</v>
      </c>
      <c r="G8" s="25"/>
      <c r="H8" s="25"/>
      <c r="I8" s="26" t="str">
        <f>IF(Table13[[#This Row],[Type]]="Co-product", "No", "")</f>
        <v/>
      </c>
      <c r="J8" s="25"/>
      <c r="K8" s="6"/>
      <c r="L8" s="6" t="str">
        <f>IF(Table13[[#This Row],[Category]]="Transportation", _xlfn.XLOOKUP(Table13[[#This Row],[Resource]], 'SI - Payload'!$A$10:$A$38,'SI - Payload'!$B$10:$B$38,"",0), "")</f>
        <v/>
      </c>
      <c r="M8" s="6" t="str">
        <f>IF(Table13[[#This Row],[Category]]="Transportation", "ton", "")</f>
        <v/>
      </c>
      <c r="N8" s="6"/>
      <c r="O8" s="6"/>
      <c r="P8" s="6" t="str">
        <f>IF(OR(Table13[[#This Row],[Type]]="Main Product", Table13[[#This Row],[Type]]="Co-Product"), Table13[[#This Row],[Resource]], "")</f>
        <v/>
      </c>
      <c r="Q8" s="6" t="str">
        <f>IF(_xlfn.XLOOKUP($P8,'SI - End Use'!$B$2:$B$6,'SI - End Use'!$C$2:$C$6, "")="", "", _xlfn.XLOOKUP($C8,'SI - End Use'!$B$2:$B$6,'SI - End Use'!$C$2:$C$6, ""))</f>
        <v/>
      </c>
      <c r="R8" s="6"/>
      <c r="S8" s="6"/>
      <c r="T8" s="6"/>
    </row>
    <row r="9" spans="1:20" x14ac:dyDescent="0.35">
      <c r="A9" s="6" t="s">
        <v>0</v>
      </c>
      <c r="B9" s="6" t="s">
        <v>37</v>
      </c>
      <c r="C9" s="6" t="s">
        <v>233</v>
      </c>
      <c r="D9" s="6" t="s">
        <v>337</v>
      </c>
      <c r="E9" s="12">
        <v>41.685600000000001</v>
      </c>
      <c r="F9" s="6" t="s">
        <v>59</v>
      </c>
      <c r="G9" s="25"/>
      <c r="H9" s="25"/>
      <c r="I9" s="26" t="str">
        <f>IF(Table13[[#This Row],[Type]]="Co-product", "No", "")</f>
        <v/>
      </c>
      <c r="J9" s="25"/>
      <c r="K9" s="6"/>
      <c r="L9" s="6" t="str">
        <f>IF(Table13[[#This Row],[Category]]="Transportation", _xlfn.XLOOKUP(Table13[[#This Row],[Resource]], 'SI - Payload'!$A$10:$A$38,'SI - Payload'!$B$10:$B$38,"",0), "")</f>
        <v/>
      </c>
      <c r="M9" s="6" t="str">
        <f>IF(Table13[[#This Row],[Category]]="Transportation", "ton", "")</f>
        <v/>
      </c>
      <c r="N9" s="6"/>
      <c r="O9" s="6"/>
      <c r="P9" s="6" t="str">
        <f>IF(OR(Table13[[#This Row],[Type]]="Main Product", Table13[[#This Row],[Type]]="Co-Product"), Table13[[#This Row],[Resource]], "")</f>
        <v/>
      </c>
      <c r="Q9" s="6" t="str">
        <f>IF(_xlfn.XLOOKUP($P9,'SI - End Use'!$B$2:$B$6,'SI - End Use'!$C$2:$C$6, "")="", "", _xlfn.XLOOKUP($C9,'SI - End Use'!$B$2:$B$6,'SI - End Use'!$C$2:$C$6, ""))</f>
        <v/>
      </c>
      <c r="R9" s="6"/>
      <c r="S9" s="6"/>
      <c r="T9" s="6"/>
    </row>
    <row r="10" spans="1:20" x14ac:dyDescent="0.35">
      <c r="A10" s="6" t="s">
        <v>0</v>
      </c>
      <c r="B10" s="6" t="s">
        <v>37</v>
      </c>
      <c r="C10" s="6" t="s">
        <v>234</v>
      </c>
      <c r="D10" s="6" t="s">
        <v>337</v>
      </c>
      <c r="E10" s="12">
        <v>407.13513513513516</v>
      </c>
      <c r="F10" s="6" t="s">
        <v>59</v>
      </c>
      <c r="G10" s="25"/>
      <c r="H10" s="25"/>
      <c r="I10" s="26" t="str">
        <f>IF(Table13[[#This Row],[Type]]="Co-product", "No", "")</f>
        <v/>
      </c>
      <c r="J10" s="25"/>
      <c r="K10" s="6"/>
      <c r="L10" s="6" t="str">
        <f>IF(Table13[[#This Row],[Category]]="Transportation", _xlfn.XLOOKUP(Table13[[#This Row],[Resource]], 'SI - Payload'!$A$10:$A$38,'SI - Payload'!$B$10:$B$38,"",0), "")</f>
        <v/>
      </c>
      <c r="M10" s="6" t="str">
        <f>IF(Table13[[#This Row],[Category]]="Transportation", "ton", "")</f>
        <v/>
      </c>
      <c r="N10" s="6"/>
      <c r="O10" s="6"/>
      <c r="P10" s="6" t="str">
        <f>IF(OR(Table13[[#This Row],[Type]]="Main Product", Table13[[#This Row],[Type]]="Co-Product"), Table13[[#This Row],[Resource]], "")</f>
        <v/>
      </c>
      <c r="Q10" s="6" t="str">
        <f>IF(_xlfn.XLOOKUP($P10,'SI - End Use'!$B$2:$B$6,'SI - End Use'!$C$2:$C$6, "")="", "", _xlfn.XLOOKUP($C10,'SI - End Use'!$B$2:$B$6,'SI - End Use'!$C$2:$C$6, ""))</f>
        <v/>
      </c>
      <c r="R10" s="6"/>
      <c r="S10" s="6"/>
      <c r="T10" s="6"/>
    </row>
    <row r="11" spans="1:20" x14ac:dyDescent="0.35">
      <c r="A11" s="6" t="s">
        <v>0</v>
      </c>
      <c r="B11" s="6" t="s">
        <v>29</v>
      </c>
      <c r="C11" s="6" t="s">
        <v>29</v>
      </c>
      <c r="D11" s="6" t="s">
        <v>337</v>
      </c>
      <c r="E11" s="12">
        <v>196.83418253552099</v>
      </c>
      <c r="F11" s="6" t="s">
        <v>59</v>
      </c>
      <c r="G11" s="25"/>
      <c r="H11" s="25"/>
      <c r="I11" s="26" t="str">
        <f>IF(Table13[[#This Row],[Type]]="Co-product", "No", "")</f>
        <v/>
      </c>
      <c r="J11" s="25"/>
      <c r="K11" s="6"/>
      <c r="L11" s="6" t="str">
        <f>IF(Table13[[#This Row],[Category]]="Transportation", _xlfn.XLOOKUP(Table13[[#This Row],[Resource]], 'SI - Payload'!$A$10:$A$38,'SI - Payload'!$B$10:$B$38,"",0), "")</f>
        <v/>
      </c>
      <c r="M11" s="6" t="str">
        <f>IF(Table13[[#This Row],[Category]]="Transportation", "ton", "")</f>
        <v/>
      </c>
      <c r="N11" s="6"/>
      <c r="O11" s="6"/>
      <c r="P11" s="6" t="str">
        <f>IF(OR(Table13[[#This Row],[Type]]="Main Product", Table13[[#This Row],[Type]]="Co-Product"), Table13[[#This Row],[Resource]], "")</f>
        <v/>
      </c>
      <c r="Q11" s="6" t="str">
        <f>IF(_xlfn.XLOOKUP($P11,'SI - End Use'!$B$2:$B$6,'SI - End Use'!$C$2:$C$6, "")="", "", _xlfn.XLOOKUP($C11,'SI - End Use'!$B$2:$B$6,'SI - End Use'!$C$2:$C$6, ""))</f>
        <v/>
      </c>
      <c r="R11" s="6"/>
      <c r="S11" s="6"/>
      <c r="T11" s="6"/>
    </row>
    <row r="12" spans="1:20" x14ac:dyDescent="0.35">
      <c r="A12" s="6" t="s">
        <v>240</v>
      </c>
      <c r="B12" s="6" t="s">
        <v>217</v>
      </c>
      <c r="C12" s="6" t="s">
        <v>239</v>
      </c>
      <c r="D12" s="6" t="s">
        <v>337</v>
      </c>
      <c r="E12" s="12">
        <v>3592.2218672845001</v>
      </c>
      <c r="F12" s="6" t="s">
        <v>59</v>
      </c>
      <c r="G12" s="25"/>
      <c r="H12" s="25"/>
      <c r="I12" s="26" t="str">
        <f>IF(Table13[[#This Row],[Type]]="Co-product", "No", "")</f>
        <v/>
      </c>
      <c r="J12" s="25"/>
      <c r="K12" s="6"/>
      <c r="L12" s="6" t="str">
        <f>IF(Table13[[#This Row],[Category]]="Transportation", _xlfn.XLOOKUP(Table13[[#This Row],[Resource]], 'SI - Payload'!$A$10:$A$38,'SI - Payload'!$B$10:$B$38,"",0), "")</f>
        <v/>
      </c>
      <c r="M12" s="6" t="str">
        <f>IF(Table13[[#This Row],[Category]]="Transportation", "ton", "")</f>
        <v/>
      </c>
      <c r="N12" s="6"/>
      <c r="O12" s="6"/>
      <c r="P12" s="6" t="str">
        <f>IF(OR(Table13[[#This Row],[Type]]="Main Product", Table13[[#This Row],[Type]]="Co-Product"), Table13[[#This Row],[Resource]], "")</f>
        <v/>
      </c>
      <c r="Q12" s="6" t="str">
        <f>IF(_xlfn.XLOOKUP($P12,'SI - End Use'!$B$2:$B$6,'SI - End Use'!$C$2:$C$6, "")="", "", _xlfn.XLOOKUP($C12,'SI - End Use'!$B$2:$B$6,'SI - End Use'!$C$2:$C$6, ""))</f>
        <v/>
      </c>
      <c r="R12" s="6"/>
      <c r="S12" s="6"/>
      <c r="T12" s="6"/>
    </row>
    <row r="13" spans="1:20" x14ac:dyDescent="0.35">
      <c r="A13" s="6" t="s">
        <v>240</v>
      </c>
      <c r="B13" s="6" t="s">
        <v>217</v>
      </c>
      <c r="C13" s="6" t="s">
        <v>243</v>
      </c>
      <c r="D13" s="6" t="s">
        <v>337</v>
      </c>
      <c r="E13" s="12">
        <v>862.37929837680099</v>
      </c>
      <c r="F13" s="6" t="s">
        <v>59</v>
      </c>
      <c r="G13" s="25"/>
      <c r="H13" s="25"/>
      <c r="I13" s="26" t="str">
        <f>IF(Table13[[#This Row],[Type]]="Co-product", "No", "")</f>
        <v/>
      </c>
      <c r="J13" s="25"/>
      <c r="K13" s="6"/>
      <c r="L13" s="6" t="str">
        <f>IF(Table13[[#This Row],[Category]]="Transportation", _xlfn.XLOOKUP(Table13[[#This Row],[Resource]], 'SI - Payload'!$A$10:$A$38,'SI - Payload'!$B$10:$B$38,"",0), "")</f>
        <v/>
      </c>
      <c r="M13" s="6" t="str">
        <f>IF(Table13[[#This Row],[Category]]="Transportation", "ton", "")</f>
        <v/>
      </c>
      <c r="N13" s="6"/>
      <c r="O13" s="6"/>
      <c r="P13" s="6" t="str">
        <f>IF(OR(Table13[[#This Row],[Type]]="Main Product", Table13[[#This Row],[Type]]="Co-Product"), Table13[[#This Row],[Resource]], "")</f>
        <v/>
      </c>
      <c r="Q13" s="6" t="str">
        <f>IF(_xlfn.XLOOKUP($P13,'SI - End Use'!$B$2:$B$6,'SI - End Use'!$C$2:$C$6, "")="", "", _xlfn.XLOOKUP($C13,'SI - End Use'!$B$2:$B$6,'SI - End Use'!$C$2:$C$6, ""))</f>
        <v/>
      </c>
      <c r="R13" s="6"/>
      <c r="S13" s="6"/>
      <c r="T13" s="6"/>
    </row>
    <row r="14" spans="1:20" x14ac:dyDescent="0.35">
      <c r="A14" s="6" t="s">
        <v>0</v>
      </c>
      <c r="B14" s="6" t="s">
        <v>33</v>
      </c>
      <c r="C14" s="6" t="s">
        <v>239</v>
      </c>
      <c r="D14" s="6" t="s">
        <v>337</v>
      </c>
      <c r="E14" s="12">
        <v>100</v>
      </c>
      <c r="F14" s="6" t="s">
        <v>34</v>
      </c>
      <c r="G14" s="25"/>
      <c r="H14" s="25"/>
      <c r="I14" s="26" t="str">
        <f>IF(Table13[[#This Row],[Type]]="Co-product", "No", "")</f>
        <v/>
      </c>
      <c r="J14" s="25"/>
      <c r="K14" s="6"/>
      <c r="L14" s="6">
        <v>23</v>
      </c>
      <c r="M14" s="6" t="s">
        <v>11</v>
      </c>
      <c r="N14" s="6"/>
      <c r="O14" s="6"/>
      <c r="P14" s="6" t="str">
        <f>IF(OR(Table13[[#This Row],[Type]]="Main Product", Table13[[#This Row],[Type]]="Co-Product"), Table13[[#This Row],[Resource]], "")</f>
        <v/>
      </c>
      <c r="Q14" s="6" t="str">
        <f>IF(_xlfn.XLOOKUP($P14,'SI - End Use'!$B$2:$B$6,'SI - End Use'!$C$2:$C$6, "")="", "", _xlfn.XLOOKUP($C14,'SI - End Use'!$B$2:$B$6,'SI - End Use'!$C$2:$C$6, ""))</f>
        <v/>
      </c>
      <c r="R14" s="6"/>
      <c r="S14" s="6"/>
      <c r="T14" s="6"/>
    </row>
    <row r="15" spans="1:20" x14ac:dyDescent="0.35">
      <c r="A15" s="6" t="s">
        <v>0</v>
      </c>
      <c r="B15" s="6" t="s">
        <v>33</v>
      </c>
      <c r="C15" s="6" t="s">
        <v>243</v>
      </c>
      <c r="D15" s="6"/>
      <c r="E15" s="12">
        <v>50</v>
      </c>
      <c r="F15" s="6" t="s">
        <v>34</v>
      </c>
      <c r="G15" s="25"/>
      <c r="H15" s="25"/>
      <c r="I15" s="26" t="str">
        <f>IF(Table13[[#This Row],[Type]]="Co-product", "No", "")</f>
        <v/>
      </c>
      <c r="J15" s="25"/>
      <c r="K15" s="6"/>
      <c r="L15" s="6">
        <v>23</v>
      </c>
      <c r="M15" s="6" t="s">
        <v>11</v>
      </c>
      <c r="N15" s="6"/>
      <c r="O15" s="6"/>
      <c r="P15" s="6" t="str">
        <f>IF(OR(Table13[[#This Row],[Type]]="Main Product", Table13[[#This Row],[Type]]="Co-Product"), Table13[[#This Row],[Resource]], "")</f>
        <v/>
      </c>
      <c r="Q15" s="6" t="str">
        <f>IF(_xlfn.XLOOKUP($P15,'SI - End Use'!$B$2:$B$6,'SI - End Use'!$C$2:$C$6, "")="", "", _xlfn.XLOOKUP($C15,'SI - End Use'!$B$2:$B$6,'SI - End Use'!$C$2:$C$6, ""))</f>
        <v/>
      </c>
      <c r="R15" s="6"/>
      <c r="S15" s="6"/>
      <c r="T15" s="6"/>
    </row>
    <row r="16" spans="1:20" x14ac:dyDescent="0.35">
      <c r="A16" s="6" t="s">
        <v>0</v>
      </c>
      <c r="B16" s="6" t="s">
        <v>245</v>
      </c>
      <c r="C16" s="6" t="s">
        <v>229</v>
      </c>
      <c r="D16" s="6" t="s">
        <v>337</v>
      </c>
      <c r="E16" s="12">
        <f>719*12/100*50.8%*44/12</f>
        <v>160.71088</v>
      </c>
      <c r="F16" s="6" t="s">
        <v>59</v>
      </c>
      <c r="G16" s="25"/>
      <c r="H16" s="25"/>
      <c r="I16" s="26" t="str">
        <f>IF(Table13[[#This Row],[Type]]="Co-product", "No", "")</f>
        <v/>
      </c>
      <c r="J16" s="25"/>
      <c r="K16" s="6"/>
      <c r="L16" s="6" t="str">
        <f>IF(Table13[[#This Row],[Category]]="Transportation", _xlfn.XLOOKUP(Table13[[#This Row],[Resource]], 'SI - Payload'!$A$10:$A$38,'SI - Payload'!$B$10:$B$38,"",0), "")</f>
        <v/>
      </c>
      <c r="M16" s="6" t="str">
        <f>IF(Table13[[#This Row],[Category]]="Transportation", "ton", "")</f>
        <v/>
      </c>
      <c r="N16" s="6"/>
      <c r="O16" s="6"/>
      <c r="P16" s="6" t="str">
        <f>IF(OR(Table13[[#This Row],[Type]]="Main Product", Table13[[#This Row],[Type]]="Co-Product"), Table13[[#This Row],[Resource]], "")</f>
        <v/>
      </c>
      <c r="Q16" s="6" t="str">
        <f>IF(_xlfn.XLOOKUP($P16,'SI - End Use'!$B$2:$B$6,'SI - End Use'!$C$2:$C$6, "")="", "", _xlfn.XLOOKUP($C16,'SI - End Use'!$B$2:$B$6,'SI - End Use'!$C$2:$C$6, ""))</f>
        <v/>
      </c>
      <c r="R16" s="6"/>
      <c r="S16" s="6"/>
      <c r="T16" s="6" t="s">
        <v>339</v>
      </c>
    </row>
    <row r="17" spans="1:20" x14ac:dyDescent="0.35">
      <c r="A17" s="6" t="s">
        <v>113</v>
      </c>
      <c r="B17" s="6" t="s">
        <v>217</v>
      </c>
      <c r="C17" s="6" t="s">
        <v>239</v>
      </c>
      <c r="D17" s="6" t="s">
        <v>337</v>
      </c>
      <c r="E17" s="12">
        <v>3592.2218672845001</v>
      </c>
      <c r="F17" s="6" t="s">
        <v>59</v>
      </c>
      <c r="G17" s="25"/>
      <c r="H17" s="25"/>
      <c r="I17" s="26" t="str">
        <f>IF(Table13[[#This Row],[Type]]="Co-product", "No", "")</f>
        <v/>
      </c>
      <c r="J17" s="25"/>
      <c r="K17" s="6"/>
      <c r="L17" s="6" t="str">
        <f>IF(Table13[[#This Row],[Category]]="Transportation", _xlfn.XLOOKUP(Table13[[#This Row],[Resource]], 'SI - Payload'!$A$10:$A$38,'SI - Payload'!$B$10:$B$38,"",0), "")</f>
        <v/>
      </c>
      <c r="M17" s="6" t="str">
        <f>IF(Table13[[#This Row],[Category]]="Transportation", "ton", "")</f>
        <v/>
      </c>
      <c r="N17" s="6"/>
      <c r="O17" s="6"/>
      <c r="P17" s="6" t="str">
        <f>IF(OR(Table13[[#This Row],[Type]]="Main Product", Table13[[#This Row],[Type]]="Co-Product"), Table13[[#This Row],[Resource]], "")</f>
        <v>Biocrude</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IF(Table13[[#This Row],[Type]]="Co-product", "No", "")</f>
        <v/>
      </c>
      <c r="J18" s="25"/>
      <c r="K18" s="6"/>
      <c r="L18" s="6" t="str">
        <f>IF(Table13[[#This Row],[Category]]="Transportation", _xlfn.XLOOKUP(Table13[[#This Row],[Resource]], 'SI - Payload'!$A$10:$A$38,'SI - Payload'!$B$10:$B$38,"",0), "")</f>
        <v/>
      </c>
      <c r="M18" s="6" t="str">
        <f>IF(Table13[[#This Row],[Category]]="Transportation", "ton", "")</f>
        <v/>
      </c>
      <c r="N18" s="6"/>
      <c r="O18" s="6"/>
      <c r="P18" s="6" t="str">
        <f>IF(OR(Table13[[#This Row],[Type]]="Main Product", Table13[[#This Row],[Type]]="Co-Product"), Table13[[#This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IF(Table13[[#This Row],[Type]]="Co-product", "No", "")</f>
        <v/>
      </c>
      <c r="J19" s="25"/>
      <c r="K19" s="6"/>
      <c r="L19" s="6" t="str">
        <f>IF(Table13[[#This Row],[Category]]="Transportation", _xlfn.XLOOKUP(Table13[[#This Row],[Resource]], 'SI - Payload'!$A$10:$A$38,'SI - Payload'!$B$10:$B$38,"",0), "")</f>
        <v/>
      </c>
      <c r="M19" s="6" t="str">
        <f>IF(Table13[[#This Row],[Category]]="Transportation", "ton", "")</f>
        <v/>
      </c>
      <c r="N19" s="6"/>
      <c r="O19" s="6"/>
      <c r="P19" s="6" t="str">
        <f>IF(OR(Table13[[#This Row],[Type]]="Main Product", Table13[[#This Row],[Type]]="Co-Product"), Table13[[#This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IF(Table13[[#This Row],[Type]]="Co-product", "No", "")</f>
        <v/>
      </c>
      <c r="J20" s="25"/>
      <c r="K20" s="6"/>
      <c r="L20" s="6" t="str">
        <f>IF(Table13[[#This Row],[Category]]="Transportation", _xlfn.XLOOKUP(Table13[[#This Row],[Resource]], 'SI - Payload'!$A$10:$A$38,'SI - Payload'!$B$10:$B$38,"",0), "")</f>
        <v/>
      </c>
      <c r="M20" s="6" t="str">
        <f>IF(Table13[[#This Row],[Category]]="Transportation", "ton", "")</f>
        <v/>
      </c>
      <c r="N20" s="6"/>
      <c r="O20" s="6"/>
      <c r="P20" s="6" t="str">
        <f>IF(OR(Table13[[#This Row],[Type]]="Main Product", Table13[[#This Row],[Type]]="Co-Product"), Table13[[#This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IF(Table13[[#This Row],[Type]]="Co-product", "No", "")</f>
        <v/>
      </c>
      <c r="J21" s="25"/>
      <c r="K21" s="6"/>
      <c r="L21" s="6" t="str">
        <f>IF(Table13[[#This Row],[Category]]="Transportation", _xlfn.XLOOKUP(Table13[[#This Row],[Resource]], 'SI - Payload'!$A$10:$A$38,'SI - Payload'!$B$10:$B$38,"",0), "")</f>
        <v/>
      </c>
      <c r="M21" s="6" t="str">
        <f>IF(Table13[[#This Row],[Category]]="Transportation", "ton", "")</f>
        <v/>
      </c>
      <c r="N21" s="6"/>
      <c r="O21" s="6"/>
      <c r="P21" s="6" t="str">
        <f>IF(OR(Table13[[#This Row],[Type]]="Main Product", Table13[[#This Row],[Type]]="Co-Product"), Table13[[#This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IF(Table13[[#This Row],[Type]]="Co-product", "No", "")</f>
        <v/>
      </c>
      <c r="J22" s="25"/>
      <c r="K22" s="6"/>
      <c r="L22" s="6" t="str">
        <f>IF(Table13[[#This Row],[Category]]="Transportation", _xlfn.XLOOKUP(Table13[[#This Row],[Resource]], 'SI - Payload'!$A$10:$A$38,'SI - Payload'!$B$10:$B$38,"",0), "")</f>
        <v/>
      </c>
      <c r="M22" s="6" t="str">
        <f>IF(Table13[[#This Row],[Category]]="Transportation", "ton", "")</f>
        <v/>
      </c>
      <c r="N22" s="6"/>
      <c r="O22" s="6"/>
      <c r="P22" s="6" t="str">
        <f>IF(OR(Table13[[#This Row],[Type]]="Main Product", Table13[[#This Row],[Type]]="Co-Product"), Table13[[#This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IF(Table13[[#This Row],[Type]]="Co-product", "No", "")</f>
        <v/>
      </c>
      <c r="J23" s="25"/>
      <c r="K23" s="6"/>
      <c r="L23" s="6" t="str">
        <f>IF(Table13[[#This Row],[Category]]="Transportation", _xlfn.XLOOKUP(Table13[[#This Row],[Resource]], 'SI - Payload'!$A$10:$A$38,'SI - Payload'!$B$10:$B$38,"",0), "")</f>
        <v/>
      </c>
      <c r="M23" s="6" t="str">
        <f>IF(Table13[[#This Row],[Category]]="Transportation", "ton", "")</f>
        <v/>
      </c>
      <c r="N23" s="6"/>
      <c r="O23" s="6"/>
      <c r="P23" s="6" t="str">
        <f>IF(OR(Table13[[#This Row],[Type]]="Main Product", Table13[[#This Row],[Type]]="Co-Product"), Table13[[#This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IF(Table13[[#This Row],[Type]]="Co-product", "No", "")</f>
        <v/>
      </c>
      <c r="J24" s="25"/>
      <c r="K24" s="6"/>
      <c r="L24" s="6" t="str">
        <f>IF(Table13[[#This Row],[Category]]="Transportation", _xlfn.XLOOKUP(Table13[[#This Row],[Resource]], 'SI - Payload'!$A$10:$A$38,'SI - Payload'!$B$10:$B$38,"",0), "")</f>
        <v/>
      </c>
      <c r="M24" s="6" t="str">
        <f>IF(Table13[[#This Row],[Category]]="Transportation", "ton", "")</f>
        <v/>
      </c>
      <c r="N24" s="6"/>
      <c r="O24" s="6"/>
      <c r="P24" s="6" t="str">
        <f>IF(OR(Table13[[#This Row],[Type]]="Main Product", Table13[[#This Row],[Type]]="Co-Product"), Table13[[#This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IF(Table13[[#This Row],[Type]]="Co-product", "No", "")</f>
        <v/>
      </c>
      <c r="J25" s="25"/>
      <c r="K25" s="6"/>
      <c r="L25" s="6" t="str">
        <f>IF(Table13[[#This Row],[Category]]="Transportation", _xlfn.XLOOKUP(Table13[[#This Row],[Resource]], 'SI - Payload'!$A$10:$A$38,'SI - Payload'!$B$10:$B$38,"",0), "")</f>
        <v/>
      </c>
      <c r="M25" s="6" t="str">
        <f>IF(Table13[[#This Row],[Category]]="Transportation", "ton", "")</f>
        <v/>
      </c>
      <c r="N25" s="6"/>
      <c r="O25" s="6"/>
      <c r="P25" s="6" t="str">
        <f>IF(OR(Table13[[#This Row],[Type]]="Main Product", Table13[[#This Row],[Type]]="Co-Product"), Table13[[#This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IF(Table13[[#This Row],[Type]]="Co-product", "No", "")</f>
        <v/>
      </c>
      <c r="J26" s="25"/>
      <c r="K26" s="6"/>
      <c r="L26" s="6" t="str">
        <f>IF(Table13[[#This Row],[Category]]="Transportation", _xlfn.XLOOKUP(Table13[[#This Row],[Resource]], 'SI - Payload'!$A$10:$A$38,'SI - Payload'!$B$10:$B$38,"",0), "")</f>
        <v/>
      </c>
      <c r="M26" s="6" t="str">
        <f>IF(Table13[[#This Row],[Category]]="Transportation", "ton", "")</f>
        <v/>
      </c>
      <c r="N26" s="6"/>
      <c r="O26" s="6"/>
      <c r="P26" s="6" t="str">
        <f>IF(OR(Table13[[#This Row],[Type]]="Main Product", Table13[[#This Row],[Type]]="Co-Product"), Table13[[#This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IF(Table13[[#This Row],[Type]]="Co-product", "No", "")</f>
        <v/>
      </c>
      <c r="J27" s="25"/>
      <c r="K27" s="6"/>
      <c r="L27" s="6" t="str">
        <f>IF(Table13[[#This Row],[Category]]="Transportation", _xlfn.XLOOKUP(Table13[[#This Row],[Resource]], 'SI - Payload'!$A$10:$A$38,'SI - Payload'!$B$10:$B$38,"",0), "")</f>
        <v/>
      </c>
      <c r="M27" s="6" t="str">
        <f>IF(Table13[[#This Row],[Category]]="Transportation", "ton", "")</f>
        <v/>
      </c>
      <c r="N27" s="6"/>
      <c r="O27" s="6"/>
      <c r="P27" s="6" t="str">
        <f>IF(OR(Table13[[#This Row],[Type]]="Main Product", Table13[[#This Row],[Type]]="Co-Product"), Table13[[#This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IF(Table13[[#This Row],[Type]]="Co-product", "No", "")</f>
        <v/>
      </c>
      <c r="J28" s="25"/>
      <c r="K28" s="6"/>
      <c r="L28" s="6" t="str">
        <f>IF(Table13[[#This Row],[Category]]="Transportation", _xlfn.XLOOKUP(Table13[[#This Row],[Resource]], 'SI - Payload'!$A$10:$A$38,'SI - Payload'!$B$10:$B$38,"",0), "")</f>
        <v/>
      </c>
      <c r="M28" s="6" t="str">
        <f>IF(Table13[[#This Row],[Category]]="Transportation", "ton", "")</f>
        <v/>
      </c>
      <c r="N28" s="6"/>
      <c r="O28" s="6"/>
      <c r="P28" s="6" t="str">
        <f>IF(OR(Table13[[#This Row],[Type]]="Main Product", Table13[[#This Row],[Type]]="Co-Product"), Table13[[#This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IF(Table13[[#This Row],[Type]]="Co-product", "No", "")</f>
        <v/>
      </c>
      <c r="J29" s="25"/>
      <c r="K29" s="6"/>
      <c r="L29" s="6" t="str">
        <f>IF(Table13[[#This Row],[Category]]="Transportation", _xlfn.XLOOKUP(Table13[[#This Row],[Resource]], 'SI - Payload'!$A$10:$A$38,'SI - Payload'!$B$10:$B$38,"",0), "")</f>
        <v/>
      </c>
      <c r="M29" s="6" t="str">
        <f>IF(Table13[[#This Row],[Category]]="Transportation", "ton", "")</f>
        <v/>
      </c>
      <c r="N29" s="6"/>
      <c r="O29" s="6"/>
      <c r="P29" s="6" t="str">
        <f>IF(OR(Table13[[#This Row],[Type]]="Main Product", Table13[[#This Row],[Type]]="Co-Product"), Table13[[#This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IF(Table13[[#This Row],[Type]]="Co-product", "No", "")</f>
        <v/>
      </c>
      <c r="J30" s="25"/>
      <c r="K30" s="6"/>
      <c r="L30" s="6" t="str">
        <f>IF(Table13[[#This Row],[Category]]="Transportation", _xlfn.XLOOKUP(Table13[[#This Row],[Resource]], 'SI - Payload'!$A$10:$A$38,'SI - Payload'!$B$10:$B$38,"",0), "")</f>
        <v/>
      </c>
      <c r="M30" s="6" t="str">
        <f>IF(Table13[[#This Row],[Category]]="Transportation", "ton", "")</f>
        <v/>
      </c>
      <c r="N30" s="6"/>
      <c r="O30" s="6"/>
      <c r="P30" s="6" t="str">
        <f>IF(OR(Table13[[#This Row],[Type]]="Main Product", Table13[[#This Row],[Type]]="Co-Product"), Table13[[#This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IF(Table13[[#This Row],[Type]]="Co-product", "No", "")</f>
        <v/>
      </c>
      <c r="J31" s="25"/>
      <c r="K31" s="6"/>
      <c r="L31" s="6" t="str">
        <f>IF(Table13[[#This Row],[Category]]="Transportation", _xlfn.XLOOKUP(Table13[[#This Row],[Resource]], 'SI - Payload'!$A$10:$A$38,'SI - Payload'!$B$10:$B$38,"",0), "")</f>
        <v/>
      </c>
      <c r="M31" s="6" t="str">
        <f>IF(Table13[[#This Row],[Category]]="Transportation", "ton", "")</f>
        <v/>
      </c>
      <c r="N31" s="6"/>
      <c r="O31" s="6"/>
      <c r="P31" s="6" t="str">
        <f>IF(OR(Table13[[#This Row],[Type]]="Main Product", Table13[[#This Row],[Type]]="Co-Product"), Table13[[#This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IF(Table13[[#This Row],[Type]]="Co-product", "No", "")</f>
        <v/>
      </c>
      <c r="J32" s="25"/>
      <c r="K32" s="6"/>
      <c r="L32" s="6" t="str">
        <f>IF(Table13[[#This Row],[Category]]="Transportation", _xlfn.XLOOKUP(Table13[[#This Row],[Resource]], 'SI - Payload'!$A$10:$A$38,'SI - Payload'!$B$10:$B$38,"",0), "")</f>
        <v/>
      </c>
      <c r="M32" s="6" t="str">
        <f>IF(Table13[[#This Row],[Category]]="Transportation", "ton", "")</f>
        <v/>
      </c>
      <c r="N32" s="6"/>
      <c r="O32" s="6"/>
      <c r="P32" s="6" t="str">
        <f>IF(OR(Table13[[#This Row],[Type]]="Main Product", Table13[[#This Row],[Type]]="Co-Product"), Table13[[#This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IF(Table13[[#This Row],[Type]]="Co-product", "No", "")</f>
        <v/>
      </c>
      <c r="J33" s="25"/>
      <c r="K33" s="6"/>
      <c r="L33" s="6" t="str">
        <f>IF(Table13[[#This Row],[Category]]="Transportation", _xlfn.XLOOKUP(Table13[[#This Row],[Resource]], 'SI - Payload'!$A$10:$A$38,'SI - Payload'!$B$10:$B$38,"",0), "")</f>
        <v/>
      </c>
      <c r="M33" s="6" t="str">
        <f>IF(Table13[[#This Row],[Category]]="Transportation", "ton", "")</f>
        <v/>
      </c>
      <c r="N33" s="6"/>
      <c r="O33" s="6"/>
      <c r="P33" s="6" t="str">
        <f>IF(OR(Table13[[#This Row],[Type]]="Main Product", Table13[[#This Row],[Type]]="Co-Product"), Table13[[#This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IF(Table13[[#This Row],[Type]]="Co-product", "No", "")</f>
        <v/>
      </c>
      <c r="J34" s="25"/>
      <c r="K34" s="6"/>
      <c r="L34" s="6" t="str">
        <f>IF(Table13[[#This Row],[Category]]="Transportation", _xlfn.XLOOKUP(Table13[[#This Row],[Resource]], 'SI - Payload'!$A$10:$A$38,'SI - Payload'!$B$10:$B$38,"",0), "")</f>
        <v/>
      </c>
      <c r="M34" s="6" t="str">
        <f>IF(Table13[[#This Row],[Category]]="Transportation", "ton", "")</f>
        <v/>
      </c>
      <c r="N34" s="6"/>
      <c r="O34" s="6"/>
      <c r="P34" s="6" t="str">
        <f>IF(OR(Table13[[#This Row],[Type]]="Main Product", Table13[[#This Row],[Type]]="Co-Product"), Table13[[#This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IF(Table13[[#This Row],[Type]]="Co-product", "No", "")</f>
        <v/>
      </c>
      <c r="J35" s="25"/>
      <c r="K35" s="6"/>
      <c r="L35" s="6" t="str">
        <f>IF(Table13[[#This Row],[Category]]="Transportation", _xlfn.XLOOKUP(Table13[[#This Row],[Resource]], 'SI - Payload'!$A$10:$A$38,'SI - Payload'!$B$10:$B$38,"",0), "")</f>
        <v/>
      </c>
      <c r="M35" s="6" t="str">
        <f>IF(Table13[[#This Row],[Category]]="Transportation", "ton", "")</f>
        <v/>
      </c>
      <c r="N35" s="6"/>
      <c r="O35" s="6"/>
      <c r="P35" s="6" t="str">
        <f>IF(OR(Table13[[#This Row],[Type]]="Main Product", Table13[[#This Row],[Type]]="Co-Product"), Table13[[#This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IF(Table13[[#This Row],[Type]]="Co-product", "No", "")</f>
        <v/>
      </c>
      <c r="J36" s="25"/>
      <c r="K36" s="6"/>
      <c r="L36" s="6" t="str">
        <f>IF(Table13[[#This Row],[Category]]="Transportation", _xlfn.XLOOKUP(Table13[[#This Row],[Resource]], 'SI - Payload'!$A$10:$A$38,'SI - Payload'!$B$10:$B$38,"",0), "")</f>
        <v/>
      </c>
      <c r="M36" s="6" t="str">
        <f>IF(Table13[[#This Row],[Category]]="Transportation", "ton", "")</f>
        <v/>
      </c>
      <c r="N36" s="6"/>
      <c r="O36" s="6"/>
      <c r="P36" s="6" t="str">
        <f>IF(OR(Table13[[#This Row],[Type]]="Main Product", Table13[[#This Row],[Type]]="Co-Product"), Table13[[#This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IF(Table13[[#This Row],[Type]]="Co-product", "No", "")</f>
        <v/>
      </c>
      <c r="J37" s="25"/>
      <c r="K37" s="6"/>
      <c r="L37" s="6" t="str">
        <f>IF(Table13[[#This Row],[Category]]="Transportation", _xlfn.XLOOKUP(Table13[[#This Row],[Resource]], 'SI - Payload'!$A$10:$A$38,'SI - Payload'!$B$10:$B$38,"",0), "")</f>
        <v/>
      </c>
      <c r="M37" s="6" t="str">
        <f>IF(Table13[[#This Row],[Category]]="Transportation", "ton", "")</f>
        <v/>
      </c>
      <c r="N37" s="6"/>
      <c r="O37" s="6"/>
      <c r="P37" s="6" t="str">
        <f>IF(OR(Table13[[#This Row],[Type]]="Main Product", Table13[[#This Row],[Type]]="Co-Product"), Table13[[#This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IF(Table13[[#This Row],[Type]]="Co-product", "No", "")</f>
        <v/>
      </c>
      <c r="J38" s="25"/>
      <c r="K38" s="6"/>
      <c r="L38" s="6" t="str">
        <f>IF(Table13[[#This Row],[Category]]="Transportation", _xlfn.XLOOKUP(Table13[[#This Row],[Resource]], 'SI - Payload'!$A$10:$A$38,'SI - Payload'!$B$10:$B$38,"",0), "")</f>
        <v/>
      </c>
      <c r="M38" s="6" t="str">
        <f>IF(Table13[[#This Row],[Category]]="Transportation", "ton", "")</f>
        <v/>
      </c>
      <c r="N38" s="6"/>
      <c r="O38" s="6"/>
      <c r="P38" s="6" t="str">
        <f>IF(OR(Table13[[#This Row],[Type]]="Main Product", Table13[[#This Row],[Type]]="Co-Product"), Table13[[#This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IF(Table13[[#This Row],[Type]]="Co-product", "No", "")</f>
        <v/>
      </c>
      <c r="J39" s="25"/>
      <c r="K39" s="6"/>
      <c r="L39" s="6" t="str">
        <f>IF(Table13[[#This Row],[Category]]="Transportation", _xlfn.XLOOKUP(Table13[[#This Row],[Resource]], 'SI - Payload'!$A$10:$A$38,'SI - Payload'!$B$10:$B$38,"",0), "")</f>
        <v/>
      </c>
      <c r="M39" s="6" t="str">
        <f>IF(Table13[[#This Row],[Category]]="Transportation", "ton", "")</f>
        <v/>
      </c>
      <c r="N39" s="6"/>
      <c r="O39" s="6"/>
      <c r="P39" s="6" t="str">
        <f>IF(OR(Table13[[#This Row],[Type]]="Main Product", Table13[[#This Row],[Type]]="Co-Product"), Table13[[#This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IF(Table13[[#This Row],[Type]]="Co-product", "No", "")</f>
        <v/>
      </c>
      <c r="J40" s="25"/>
      <c r="K40" s="6"/>
      <c r="L40" s="6" t="str">
        <f>IF(Table13[[#This Row],[Category]]="Transportation", _xlfn.XLOOKUP(Table13[[#This Row],[Resource]], 'SI - Payload'!$A$10:$A$38,'SI - Payload'!$B$10:$B$38,"",0), "")</f>
        <v/>
      </c>
      <c r="M40" s="6" t="str">
        <f>IF(Table13[[#This Row],[Category]]="Transportation", "ton", "")</f>
        <v/>
      </c>
      <c r="N40" s="6"/>
      <c r="O40" s="6"/>
      <c r="P40" s="6" t="str">
        <f>IF(OR(Table13[[#This Row],[Type]]="Main Product", Table13[[#This Row],[Type]]="Co-Product"), Table13[[#This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IF(Table13[[#This Row],[Type]]="Co-product", "No", "")</f>
        <v/>
      </c>
      <c r="J41" s="25"/>
      <c r="K41" s="6"/>
      <c r="L41" s="6" t="str">
        <f>IF(Table13[[#This Row],[Category]]="Transportation", _xlfn.XLOOKUP(Table13[[#This Row],[Resource]], 'SI - Payload'!$A$10:$A$38,'SI - Payload'!$B$10:$B$38,"",0), "")</f>
        <v/>
      </c>
      <c r="M41" s="6" t="str">
        <f>IF(Table13[[#This Row],[Category]]="Transportation", "ton", "")</f>
        <v/>
      </c>
      <c r="N41" s="6"/>
      <c r="O41" s="6"/>
      <c r="P41" s="6" t="str">
        <f>IF(OR(Table13[[#This Row],[Type]]="Main Product", Table13[[#This Row],[Type]]="Co-Product"), Table13[[#This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IF(Table13[[#This Row],[Type]]="Co-product", "No", "")</f>
        <v/>
      </c>
      <c r="J42" s="25"/>
      <c r="K42" s="6"/>
      <c r="L42" s="6" t="str">
        <f>IF(Table13[[#This Row],[Category]]="Transportation", _xlfn.XLOOKUP(Table13[[#This Row],[Resource]], 'SI - Payload'!$A$10:$A$38,'SI - Payload'!$B$10:$B$38,"",0), "")</f>
        <v/>
      </c>
      <c r="M42" s="6" t="str">
        <f>IF(Table13[[#This Row],[Category]]="Transportation", "ton", "")</f>
        <v/>
      </c>
      <c r="N42" s="6"/>
      <c r="O42" s="6"/>
      <c r="P42" s="6" t="str">
        <f>IF(OR(Table13[[#This Row],[Type]]="Main Product", Table13[[#This Row],[Type]]="Co-Product"), Table13[[#This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IF(Table13[[#This Row],[Type]]="Co-product", "No", "")</f>
        <v/>
      </c>
      <c r="J43" s="25"/>
      <c r="K43" s="6"/>
      <c r="L43" s="6" t="str">
        <f>IF(Table13[[#This Row],[Category]]="Transportation", _xlfn.XLOOKUP(Table13[[#This Row],[Resource]], 'SI - Payload'!$A$10:$A$38,'SI - Payload'!$B$10:$B$38,"",0), "")</f>
        <v/>
      </c>
      <c r="M43" s="6" t="str">
        <f>IF(Table13[[#This Row],[Category]]="Transportation", "ton", "")</f>
        <v/>
      </c>
      <c r="N43" s="6"/>
      <c r="O43" s="6"/>
      <c r="P43" s="6" t="str">
        <f>IF(OR(Table13[[#This Row],[Type]]="Main Product", Table13[[#This Row],[Type]]="Co-Product"), Table13[[#This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IF(Table13[[#This Row],[Type]]="Co-product", "No", "")</f>
        <v/>
      </c>
      <c r="J44" s="25"/>
      <c r="K44" s="6"/>
      <c r="L44" s="6" t="str">
        <f>IF(Table13[[#This Row],[Category]]="Transportation", _xlfn.XLOOKUP(Table13[[#This Row],[Resource]], 'SI - Payload'!$A$10:$A$38,'SI - Payload'!$B$10:$B$38,"",0), "")</f>
        <v/>
      </c>
      <c r="M44" s="6" t="str">
        <f>IF(Table13[[#This Row],[Category]]="Transportation", "ton", "")</f>
        <v/>
      </c>
      <c r="N44" s="6"/>
      <c r="O44" s="6"/>
      <c r="P44" s="6" t="str">
        <f>IF(OR(Table13[[#This Row],[Type]]="Main Product", Table13[[#This Row],[Type]]="Co-Product"), Table13[[#This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IF(Table13[[#This Row],[Type]]="Co-product", "No", "")</f>
        <v/>
      </c>
      <c r="J45" s="25"/>
      <c r="K45" s="6"/>
      <c r="L45" s="6" t="str">
        <f>IF(Table13[[#This Row],[Category]]="Transportation", _xlfn.XLOOKUP(Table13[[#This Row],[Resource]], 'SI - Payload'!$A$10:$A$38,'SI - Payload'!$B$10:$B$38,"",0), "")</f>
        <v/>
      </c>
      <c r="M45" s="6" t="str">
        <f>IF(Table13[[#This Row],[Category]]="Transportation", "ton", "")</f>
        <v/>
      </c>
      <c r="N45" s="6"/>
      <c r="O45" s="6"/>
      <c r="P45" s="6" t="str">
        <f>IF(OR(Table13[[#This Row],[Type]]="Main Product", Table13[[#This Row],[Type]]="Co-Product"), Table13[[#This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IF(Table13[[#This Row],[Type]]="Co-product", "No", "")</f>
        <v/>
      </c>
      <c r="J46" s="25"/>
      <c r="K46" s="6"/>
      <c r="L46" s="6" t="str">
        <f>IF(Table13[[#This Row],[Category]]="Transportation", _xlfn.XLOOKUP(Table13[[#This Row],[Resource]], 'SI - Payload'!$A$10:$A$38,'SI - Payload'!$B$10:$B$38,"",0), "")</f>
        <v/>
      </c>
      <c r="M46" s="6" t="str">
        <f>IF(Table13[[#This Row],[Category]]="Transportation", "ton", "")</f>
        <v/>
      </c>
      <c r="N46" s="6"/>
      <c r="O46" s="6"/>
      <c r="P46" s="6" t="str">
        <f>IF(OR(Table13[[#This Row],[Type]]="Main Product", Table13[[#This Row],[Type]]="Co-Product"), Table13[[#This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IF(Table13[[#This Row],[Type]]="Co-product", "No", "")</f>
        <v/>
      </c>
      <c r="J47" s="25"/>
      <c r="K47" s="6"/>
      <c r="L47" s="6" t="str">
        <f>IF(Table13[[#This Row],[Category]]="Transportation", _xlfn.XLOOKUP(Table13[[#This Row],[Resource]], 'SI - Payload'!$A$10:$A$38,'SI - Payload'!$B$10:$B$38,"",0), "")</f>
        <v/>
      </c>
      <c r="M47" s="6" t="str">
        <f>IF(Table13[[#This Row],[Category]]="Transportation", "ton", "")</f>
        <v/>
      </c>
      <c r="N47" s="6"/>
      <c r="O47" s="6"/>
      <c r="P47" s="6" t="str">
        <f>IF(OR(Table13[[#This Row],[Type]]="Main Product", Table13[[#This Row],[Type]]="Co-Product"), Table13[[#This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IF(Table13[[#This Row],[Type]]="Co-product", "No", "")</f>
        <v/>
      </c>
      <c r="J48" s="25"/>
      <c r="K48" s="6"/>
      <c r="L48" s="6" t="str">
        <f>IF(Table13[[#This Row],[Category]]="Transportation", _xlfn.XLOOKUP(Table13[[#This Row],[Resource]], 'SI - Payload'!$A$10:$A$38,'SI - Payload'!$B$10:$B$38,"",0), "")</f>
        <v/>
      </c>
      <c r="M48" s="6" t="str">
        <f>IF(Table13[[#This Row],[Category]]="Transportation", "ton", "")</f>
        <v/>
      </c>
      <c r="N48" s="6"/>
      <c r="O48" s="6"/>
      <c r="P48" s="6" t="str">
        <f>IF(OR(Table13[[#This Row],[Type]]="Main Product", Table13[[#This Row],[Type]]="Co-Product"), Table13[[#This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IF(Table13[[#This Row],[Type]]="Co-product", "No", "")</f>
        <v/>
      </c>
      <c r="J49" s="25"/>
      <c r="K49" s="6"/>
      <c r="L49" s="6" t="str">
        <f>IF(Table13[[#This Row],[Category]]="Transportation", _xlfn.XLOOKUP(Table13[[#This Row],[Resource]], 'SI - Payload'!$A$10:$A$38,'SI - Payload'!$B$10:$B$38,"",0), "")</f>
        <v/>
      </c>
      <c r="M49" s="6" t="str">
        <f>IF(Table13[[#This Row],[Category]]="Transportation", "ton", "")</f>
        <v/>
      </c>
      <c r="N49" s="6"/>
      <c r="O49" s="6"/>
      <c r="P49" s="6" t="str">
        <f>IF(OR(Table13[[#This Row],[Type]]="Main Product", Table13[[#This Row],[Type]]="Co-Product"), Table13[[#This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IF(Table13[[#This Row],[Type]]="Co-product", "No", "")</f>
        <v/>
      </c>
      <c r="J50" s="25"/>
      <c r="K50" s="6"/>
      <c r="L50" s="6" t="str">
        <f>IF(Table13[[#This Row],[Category]]="Transportation", _xlfn.XLOOKUP(Table13[[#This Row],[Resource]], 'SI - Payload'!$A$10:$A$38,'SI - Payload'!$B$10:$B$38,"",0), "")</f>
        <v/>
      </c>
      <c r="M50" s="6" t="str">
        <f>IF(Table13[[#This Row],[Category]]="Transportation", "ton", "")</f>
        <v/>
      </c>
      <c r="N50" s="6"/>
      <c r="O50" s="6"/>
      <c r="P50" s="6" t="str">
        <f>IF(OR(Table13[[#This Row],[Type]]="Main Product", Table13[[#This Row],[Type]]="Co-Product"), Table13[[#This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IF(Table13[[#This Row],[Type]]="Co-product", "No", "")</f>
        <v/>
      </c>
      <c r="J51" s="25"/>
      <c r="K51" s="6"/>
      <c r="L51" s="6" t="str">
        <f>IF(Table13[[#This Row],[Category]]="Transportation", _xlfn.XLOOKUP(Table13[[#This Row],[Resource]], 'SI - Payload'!$A$10:$A$38,'SI - Payload'!$B$10:$B$38,"",0), "")</f>
        <v/>
      </c>
      <c r="M51" s="6" t="str">
        <f>IF(Table13[[#This Row],[Category]]="Transportation", "ton", "")</f>
        <v/>
      </c>
      <c r="N51" s="6"/>
      <c r="O51" s="6"/>
      <c r="P51" s="6" t="str">
        <f>IF(OR(Table13[[#This Row],[Type]]="Main Product", Table13[[#This Row],[Type]]="Co-Product"), Table13[[#This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IF(Table13[[#This Row],[Type]]="Co-product", "No", "")</f>
        <v/>
      </c>
      <c r="J52" s="25"/>
      <c r="K52" s="6"/>
      <c r="L52" s="6" t="str">
        <f>IF(Table13[[#This Row],[Category]]="Transportation", _xlfn.XLOOKUP(Table13[[#This Row],[Resource]], 'SI - Payload'!$A$10:$A$38,'SI - Payload'!$B$10:$B$38,"",0), "")</f>
        <v/>
      </c>
      <c r="M52" s="6" t="str">
        <f>IF(Table13[[#This Row],[Category]]="Transportation", "ton", "")</f>
        <v/>
      </c>
      <c r="N52" s="6"/>
      <c r="O52" s="6"/>
      <c r="P52" s="6" t="str">
        <f>IF(OR(Table13[[#This Row],[Type]]="Main Product", Table13[[#This Row],[Type]]="Co-Product"), Table13[[#This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IF(Table13[[#This Row],[Type]]="Co-product", "No", "")</f>
        <v/>
      </c>
      <c r="J53" s="25"/>
      <c r="K53" s="6"/>
      <c r="L53" s="6" t="str">
        <f>IF(Table13[[#This Row],[Category]]="Transportation", _xlfn.XLOOKUP(Table13[[#This Row],[Resource]], 'SI - Payload'!$A$10:$A$38,'SI - Payload'!$B$10:$B$38,"",0), "")</f>
        <v/>
      </c>
      <c r="M53" s="6" t="str">
        <f>IF(Table13[[#This Row],[Category]]="Transportation", "ton", "")</f>
        <v/>
      </c>
      <c r="N53" s="6"/>
      <c r="O53" s="6"/>
      <c r="P53" s="6" t="str">
        <f>IF(OR(Table13[[#This Row],[Type]]="Main Product", Table13[[#This Row],[Type]]="Co-Product"), Table13[[#This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IF(Table13[[#This Row],[Type]]="Co-product", "No", "")</f>
        <v/>
      </c>
      <c r="J54" s="25"/>
      <c r="K54" s="6"/>
      <c r="L54" s="6" t="str">
        <f>IF(Table13[[#This Row],[Category]]="Transportation", _xlfn.XLOOKUP(Table13[[#This Row],[Resource]], 'SI - Payload'!$A$10:$A$38,'SI - Payload'!$B$10:$B$38,"",0), "")</f>
        <v/>
      </c>
      <c r="M54" s="6" t="str">
        <f>IF(Table13[[#This Row],[Category]]="Transportation", "ton", "")</f>
        <v/>
      </c>
      <c r="N54" s="6"/>
      <c r="O54" s="6"/>
      <c r="P54" s="6" t="str">
        <f>IF(OR(Table13[[#This Row],[Type]]="Main Product", Table13[[#This Row],[Type]]="Co-Product"), Table13[[#This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IF(Table13[[#This Row],[Type]]="Co-product", "No", "")</f>
        <v/>
      </c>
      <c r="J55" s="25"/>
      <c r="K55" s="6"/>
      <c r="L55" s="6" t="str">
        <f>IF(Table13[[#This Row],[Category]]="Transportation", _xlfn.XLOOKUP(Table13[[#This Row],[Resource]], 'SI - Payload'!$A$10:$A$38,'SI - Payload'!$B$10:$B$38,"",0), "")</f>
        <v/>
      </c>
      <c r="M55" s="6" t="str">
        <f>IF(Table13[[#This Row],[Category]]="Transportation", "ton", "")</f>
        <v/>
      </c>
      <c r="N55" s="6"/>
      <c r="O55" s="6"/>
      <c r="P55" s="6" t="str">
        <f>IF(OR(Table13[[#This Row],[Type]]="Main Product", Table13[[#This Row],[Type]]="Co-Product"), Table13[[#This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IF(Table13[[#This Row],[Type]]="Co-product", "No", "")</f>
        <v/>
      </c>
      <c r="J56" s="25"/>
      <c r="K56" s="6"/>
      <c r="L56" s="6" t="str">
        <f>IF(Table13[[#This Row],[Category]]="Transportation", _xlfn.XLOOKUP(Table13[[#This Row],[Resource]], 'SI - Payload'!$A$10:$A$38,'SI - Payload'!$B$10:$B$38,"",0), "")</f>
        <v/>
      </c>
      <c r="M56" s="6" t="str">
        <f>IF(Table13[[#This Row],[Category]]="Transportation", "ton", "")</f>
        <v/>
      </c>
      <c r="N56" s="6"/>
      <c r="O56" s="6"/>
      <c r="P56" s="6" t="str">
        <f>IF(OR(Table13[[#This Row],[Type]]="Main Product", Table13[[#This Row],[Type]]="Co-Product"), Table13[[#This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IF(Table13[[#This Row],[Type]]="Co-product", "No", "")</f>
        <v/>
      </c>
      <c r="J57" s="25"/>
      <c r="K57" s="6"/>
      <c r="L57" s="6" t="str">
        <f>IF(Table13[[#This Row],[Category]]="Transportation", _xlfn.XLOOKUP(Table13[[#This Row],[Resource]], 'SI - Payload'!$A$10:$A$38,'SI - Payload'!$B$10:$B$38,"",0), "")</f>
        <v/>
      </c>
      <c r="M57" s="6" t="str">
        <f>IF(Table13[[#This Row],[Category]]="Transportation", "ton", "")</f>
        <v/>
      </c>
      <c r="N57" s="6"/>
      <c r="O57" s="6"/>
      <c r="P57" s="6" t="str">
        <f>IF(OR(Table13[[#This Row],[Type]]="Main Product", Table13[[#This Row],[Type]]="Co-Product"), Table13[[#This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IF(Table13[[#This Row],[Type]]="Co-product", "No", "")</f>
        <v/>
      </c>
      <c r="J58" s="25"/>
      <c r="K58" s="6"/>
      <c r="L58" s="6" t="str">
        <f>IF(Table13[[#This Row],[Category]]="Transportation", _xlfn.XLOOKUP(Table13[[#This Row],[Resource]], 'SI - Payload'!$A$10:$A$38,'SI - Payload'!$B$10:$B$38,"",0), "")</f>
        <v/>
      </c>
      <c r="M58" s="6" t="str">
        <f>IF(Table13[[#This Row],[Category]]="Transportation", "ton", "")</f>
        <v/>
      </c>
      <c r="N58" s="6"/>
      <c r="O58" s="6"/>
      <c r="P58" s="6" t="str">
        <f>IF(OR(Table13[[#This Row],[Type]]="Main Product", Table13[[#This Row],[Type]]="Co-Product"), Table13[[#This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IF(Table13[[#This Row],[Type]]="Co-product", "No", "")</f>
        <v/>
      </c>
      <c r="J59" s="25"/>
      <c r="K59" s="6"/>
      <c r="L59" s="6" t="str">
        <f>IF(Table13[[#This Row],[Category]]="Transportation", _xlfn.XLOOKUP(Table13[[#This Row],[Resource]], 'SI - Payload'!$A$10:$A$38,'SI - Payload'!$B$10:$B$38,"",0), "")</f>
        <v/>
      </c>
      <c r="M59" s="6" t="str">
        <f>IF(Table13[[#This Row],[Category]]="Transportation", "ton", "")</f>
        <v/>
      </c>
      <c r="N59" s="6"/>
      <c r="O59" s="6"/>
      <c r="P59" s="6" t="str">
        <f>IF(OR(Table13[[#This Row],[Type]]="Main Product", Table13[[#This Row],[Type]]="Co-Product"), Table13[[#This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IF(Table13[[#This Row],[Type]]="Co-product", "No", "")</f>
        <v/>
      </c>
      <c r="J60" s="25"/>
      <c r="K60" s="6"/>
      <c r="L60" s="6" t="str">
        <f>IF(Table13[[#This Row],[Category]]="Transportation", _xlfn.XLOOKUP(Table13[[#This Row],[Resource]], 'SI - Payload'!$A$10:$A$38,'SI - Payload'!$B$10:$B$38,"",0), "")</f>
        <v/>
      </c>
      <c r="M60" s="6" t="str">
        <f>IF(Table13[[#This Row],[Category]]="Transportation", "ton", "")</f>
        <v/>
      </c>
      <c r="N60" s="6"/>
      <c r="O60" s="6"/>
      <c r="P60" s="6" t="str">
        <f>IF(OR(Table13[[#This Row],[Type]]="Main Product", Table13[[#This Row],[Type]]="Co-Product"), Table13[[#This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IF(Table13[[#This Row],[Type]]="Co-product", "No", "")</f>
        <v/>
      </c>
      <c r="J61" s="25"/>
      <c r="K61" s="6"/>
      <c r="L61" s="6" t="str">
        <f>IF(Table13[[#This Row],[Category]]="Transportation", _xlfn.XLOOKUP(Table13[[#This Row],[Resource]], 'SI - Payload'!$A$10:$A$38,'SI - Payload'!$B$10:$B$38,"",0), "")</f>
        <v/>
      </c>
      <c r="M61" s="6" t="str">
        <f>IF(Table13[[#This Row],[Category]]="Transportation", "ton", "")</f>
        <v/>
      </c>
      <c r="N61" s="6"/>
      <c r="O61" s="6"/>
      <c r="P61" s="6" t="str">
        <f>IF(OR(Table13[[#This Row],[Type]]="Main Product", Table13[[#This Row],[Type]]="Co-Product"), Table13[[#This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IF(Table13[[#This Row],[Type]]="Co-product", "No", "")</f>
        <v/>
      </c>
      <c r="J62" s="25"/>
      <c r="K62" s="6"/>
      <c r="L62" s="6" t="str">
        <f>IF(Table13[[#This Row],[Category]]="Transportation", _xlfn.XLOOKUP(Table13[[#This Row],[Resource]], 'SI - Payload'!$A$10:$A$38,'SI - Payload'!$B$10:$B$38,"",0), "")</f>
        <v/>
      </c>
      <c r="M62" s="6" t="str">
        <f>IF(Table13[[#This Row],[Category]]="Transportation", "ton", "")</f>
        <v/>
      </c>
      <c r="N62" s="6"/>
      <c r="O62" s="6"/>
      <c r="P62" s="6" t="str">
        <f>IF(OR(Table13[[#This Row],[Type]]="Main Product", Table13[[#This Row],[Type]]="Co-Product"), Table13[[#This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IF(Table13[[#This Row],[Type]]="Co-product", "No", "")</f>
        <v/>
      </c>
      <c r="J63" s="25"/>
      <c r="K63" s="6"/>
      <c r="L63" s="6" t="str">
        <f>IF(Table13[[#This Row],[Category]]="Transportation", _xlfn.XLOOKUP(Table13[[#This Row],[Resource]], 'SI - Payload'!$A$10:$A$38,'SI - Payload'!$B$10:$B$38,"",0), "")</f>
        <v/>
      </c>
      <c r="M63" s="6" t="str">
        <f>IF(Table13[[#This Row],[Category]]="Transportation", "ton", "")</f>
        <v/>
      </c>
      <c r="N63" s="6"/>
      <c r="O63" s="6"/>
      <c r="P63" s="6" t="str">
        <f>IF(OR(Table13[[#This Row],[Type]]="Main Product", Table13[[#This Row],[Type]]="Co-Product"), Table13[[#This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IF(Table13[[#This Row],[Type]]="Co-product", "No", "")</f>
        <v/>
      </c>
      <c r="J64" s="25"/>
      <c r="K64" s="6"/>
      <c r="L64" s="6" t="str">
        <f>IF(Table13[[#This Row],[Category]]="Transportation", _xlfn.XLOOKUP(Table13[[#This Row],[Resource]], 'SI - Payload'!$A$10:$A$38,'SI - Payload'!$B$10:$B$38,"",0), "")</f>
        <v/>
      </c>
      <c r="M64" s="6" t="str">
        <f>IF(Table13[[#This Row],[Category]]="Transportation", "ton", "")</f>
        <v/>
      </c>
      <c r="N64" s="6"/>
      <c r="O64" s="6"/>
      <c r="P64" s="6" t="str">
        <f>IF(OR(Table13[[#This Row],[Type]]="Main Product", Table13[[#This Row],[Type]]="Co-Product"), Table13[[#This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IF(Table13[[#This Row],[Type]]="Co-product", "No", "")</f>
        <v/>
      </c>
      <c r="J65" s="25"/>
      <c r="K65" s="6"/>
      <c r="L65" s="6" t="str">
        <f>IF(Table13[[#This Row],[Category]]="Transportation", _xlfn.XLOOKUP(Table13[[#This Row],[Resource]], 'SI - Payload'!$A$10:$A$38,'SI - Payload'!$B$10:$B$38,"",0), "")</f>
        <v/>
      </c>
      <c r="M65" s="6" t="str">
        <f>IF(Table13[[#This Row],[Category]]="Transportation", "ton", "")</f>
        <v/>
      </c>
      <c r="N65" s="6"/>
      <c r="O65" s="6"/>
      <c r="P65" s="6" t="str">
        <f>IF(OR(Table13[[#This Row],[Type]]="Main Product", Table13[[#This Row],[Type]]="Co-Product"), Table13[[#This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IF(Table13[[#This Row],[Type]]="Co-product", "No", "")</f>
        <v/>
      </c>
      <c r="J66" s="25"/>
      <c r="K66" s="6"/>
      <c r="L66" s="6" t="str">
        <f>IF(Table13[[#This Row],[Category]]="Transportation", _xlfn.XLOOKUP(Table13[[#This Row],[Resource]], 'SI - Payload'!$A$10:$A$38,'SI - Payload'!$B$10:$B$38,"",0), "")</f>
        <v/>
      </c>
      <c r="M66" s="6" t="str">
        <f>IF(Table13[[#This Row],[Category]]="Transportation", "ton", "")</f>
        <v/>
      </c>
      <c r="N66" s="6"/>
      <c r="O66" s="6"/>
      <c r="P66" s="6" t="str">
        <f>IF(OR(Table13[[#This Row],[Type]]="Main Product", Table13[[#This Row],[Type]]="Co-Product"), Table13[[#This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IF(Table13[[#This Row],[Type]]="Co-product", "No", "")</f>
        <v/>
      </c>
      <c r="J67" s="25"/>
      <c r="K67" s="6"/>
      <c r="L67" s="6" t="str">
        <f>IF(Table13[[#This Row],[Category]]="Transportation", _xlfn.XLOOKUP(Table13[[#This Row],[Resource]], 'SI - Payload'!$A$10:$A$38,'SI - Payload'!$B$10:$B$38,"",0), "")</f>
        <v/>
      </c>
      <c r="M67" s="6" t="str">
        <f>IF(Table13[[#This Row],[Category]]="Transportation", "ton", "")</f>
        <v/>
      </c>
      <c r="N67" s="6"/>
      <c r="O67" s="6"/>
      <c r="P67" s="6" t="str">
        <f>IF(OR(Table13[[#This Row],[Type]]="Main Product", Table13[[#This Row],[Type]]="Co-Product"), Table13[[#This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IF(Table13[[#This Row],[Type]]="Co-product", "No", "")</f>
        <v/>
      </c>
      <c r="J68" s="25"/>
      <c r="K68" s="6"/>
      <c r="L68" s="6" t="str">
        <f>IF(Table13[[#This Row],[Category]]="Transportation", _xlfn.XLOOKUP(Table13[[#This Row],[Resource]], 'SI - Payload'!$A$10:$A$38,'SI - Payload'!$B$10:$B$38,"",0), "")</f>
        <v/>
      </c>
      <c r="M68" s="6" t="str">
        <f>IF(Table13[[#This Row],[Category]]="Transportation", "ton", "")</f>
        <v/>
      </c>
      <c r="N68" s="6"/>
      <c r="O68" s="6"/>
      <c r="P68" s="6" t="str">
        <f>IF(OR(Table13[[#This Row],[Type]]="Main Product", Table13[[#This Row],[Type]]="Co-Product"), Table13[[#This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IF(Table13[[#This Row],[Type]]="Co-product", "No", "")</f>
        <v/>
      </c>
      <c r="J69" s="25"/>
      <c r="K69" s="6"/>
      <c r="L69" s="6" t="str">
        <f>IF(Table13[[#This Row],[Category]]="Transportation", _xlfn.XLOOKUP(Table13[[#This Row],[Resource]], 'SI - Payload'!$A$10:$A$38,'SI - Payload'!$B$10:$B$38,"",0), "")</f>
        <v/>
      </c>
      <c r="M69" s="6" t="str">
        <f>IF(Table13[[#This Row],[Category]]="Transportation", "ton", "")</f>
        <v/>
      </c>
      <c r="N69" s="6"/>
      <c r="O69" s="6"/>
      <c r="P69" s="6" t="str">
        <f>IF(OR(Table13[[#This Row],[Type]]="Main Product", Table13[[#This Row],[Type]]="Co-Product"), Table13[[#This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IF(Table13[[#This Row],[Type]]="Co-product", "No", "")</f>
        <v/>
      </c>
      <c r="J70" s="25"/>
      <c r="K70" s="6"/>
      <c r="L70" s="6" t="str">
        <f>IF(Table13[[#This Row],[Category]]="Transportation", _xlfn.XLOOKUP(Table13[[#This Row],[Resource]], 'SI - Payload'!$A$10:$A$38,'SI - Payload'!$B$10:$B$38,"",0), "")</f>
        <v/>
      </c>
      <c r="M70" s="6" t="str">
        <f>IF(Table13[[#This Row],[Category]]="Transportation", "ton", "")</f>
        <v/>
      </c>
      <c r="N70" s="6"/>
      <c r="O70" s="6"/>
      <c r="P70" s="6" t="str">
        <f>IF(OR(Table13[[#This Row],[Type]]="Main Product", Table13[[#This Row],[Type]]="Co-Product"), Table13[[#This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IF(Table13[[#This Row],[Type]]="Co-product", "No", "")</f>
        <v/>
      </c>
      <c r="J71" s="25"/>
      <c r="K71" s="6"/>
      <c r="L71" s="6" t="str">
        <f>IF(Table13[[#This Row],[Category]]="Transportation", _xlfn.XLOOKUP(Table13[[#This Row],[Resource]], 'SI - Payload'!$A$10:$A$38,'SI - Payload'!$B$10:$B$38,"",0), "")</f>
        <v/>
      </c>
      <c r="M71" s="6" t="str">
        <f>IF(Table13[[#This Row],[Category]]="Transportation", "ton", "")</f>
        <v/>
      </c>
      <c r="N71" s="6"/>
      <c r="O71" s="6"/>
      <c r="P71" s="6" t="str">
        <f>IF(OR(Table13[[#This Row],[Type]]="Main Product", Table13[[#This Row],[Type]]="Co-Product"), Table13[[#This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IF(Table13[[#This Row],[Type]]="Co-product", "No", "")</f>
        <v/>
      </c>
      <c r="J72" s="25"/>
      <c r="K72" s="6"/>
      <c r="L72" s="6" t="str">
        <f>IF(Table13[[#This Row],[Category]]="Transportation", _xlfn.XLOOKUP(Table13[[#This Row],[Resource]], 'SI - Payload'!$A$10:$A$38,'SI - Payload'!$B$10:$B$38,"",0), "")</f>
        <v/>
      </c>
      <c r="M72" s="6" t="str">
        <f>IF(Table13[[#This Row],[Category]]="Transportation", "ton", "")</f>
        <v/>
      </c>
      <c r="N72" s="6"/>
      <c r="O72" s="6"/>
      <c r="P72" s="6" t="str">
        <f>IF(OR(Table13[[#This Row],[Type]]="Main Product", Table13[[#This Row],[Type]]="Co-Product"), Table13[[#This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IF(Table13[[#This Row],[Type]]="Co-product", "No", "")</f>
        <v/>
      </c>
      <c r="J73" s="25"/>
      <c r="K73" s="6"/>
      <c r="L73" s="6" t="str">
        <f>IF(Table13[[#This Row],[Category]]="Transportation", _xlfn.XLOOKUP(Table13[[#This Row],[Resource]], 'SI - Payload'!$A$10:$A$38,'SI - Payload'!$B$10:$B$38,"",0), "")</f>
        <v/>
      </c>
      <c r="M73" s="6" t="str">
        <f>IF(Table13[[#This Row],[Category]]="Transportation", "ton", "")</f>
        <v/>
      </c>
      <c r="N73" s="6"/>
      <c r="O73" s="6"/>
      <c r="P73" s="6" t="str">
        <f>IF(OR(Table13[[#This Row],[Type]]="Main Product", Table13[[#This Row],[Type]]="Co-Product"), Table13[[#This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IF(Table13[[#This Row],[Type]]="Co-product", "No", "")</f>
        <v/>
      </c>
      <c r="J74" s="25"/>
      <c r="K74" s="6"/>
      <c r="L74" s="6" t="str">
        <f>IF(Table13[[#This Row],[Category]]="Transportation", _xlfn.XLOOKUP(Table13[[#This Row],[Resource]], 'SI - Payload'!$A$10:$A$38,'SI - Payload'!$B$10:$B$38,"",0), "")</f>
        <v/>
      </c>
      <c r="M74" s="6" t="str">
        <f>IF(Table13[[#This Row],[Category]]="Transportation", "ton", "")</f>
        <v/>
      </c>
      <c r="N74" s="6"/>
      <c r="O74" s="6"/>
      <c r="P74" s="6" t="str">
        <f>IF(OR(Table13[[#This Row],[Type]]="Main Product", Table13[[#This Row],[Type]]="Co-Product"), Table13[[#This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IF(Table13[[#This Row],[Type]]="Co-product", "No", "")</f>
        <v/>
      </c>
      <c r="J75" s="25"/>
      <c r="K75" s="6"/>
      <c r="L75" s="6" t="str">
        <f>IF(Table13[[#This Row],[Category]]="Transportation", _xlfn.XLOOKUP(Table13[[#This Row],[Resource]], 'SI - Payload'!$A$10:$A$38,'SI - Payload'!$B$10:$B$38,"",0), "")</f>
        <v/>
      </c>
      <c r="M75" s="6" t="str">
        <f>IF(Table13[[#This Row],[Category]]="Transportation", "ton", "")</f>
        <v/>
      </c>
      <c r="N75" s="6"/>
      <c r="O75" s="6"/>
      <c r="P75" s="6" t="str">
        <f>IF(OR(Table13[[#This Row],[Type]]="Main Product", Table13[[#This Row],[Type]]="Co-Product"), Table13[[#This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IF(Table13[[#This Row],[Type]]="Co-product", "No", "")</f>
        <v/>
      </c>
      <c r="J76" s="25"/>
      <c r="K76" s="6"/>
      <c r="L76" s="6" t="str">
        <f>IF(Table13[[#This Row],[Category]]="Transportation", _xlfn.XLOOKUP(Table13[[#This Row],[Resource]], 'SI - Payload'!$A$10:$A$38,'SI - Payload'!$B$10:$B$38,"",0), "")</f>
        <v/>
      </c>
      <c r="M76" s="6" t="str">
        <f>IF(Table13[[#This Row],[Category]]="Transportation", "ton", "")</f>
        <v/>
      </c>
      <c r="N76" s="6"/>
      <c r="O76" s="6"/>
      <c r="P76" s="6" t="str">
        <f>IF(OR(Table13[[#This Row],[Type]]="Main Product", Table13[[#This Row],[Type]]="Co-Product"), Table13[[#This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IF(Table13[[#This Row],[Type]]="Co-product", "No", "")</f>
        <v/>
      </c>
      <c r="J77" s="25"/>
      <c r="K77" s="6"/>
      <c r="L77" s="6" t="str">
        <f>IF(Table13[[#This Row],[Category]]="Transportation", _xlfn.XLOOKUP(Table13[[#This Row],[Resource]], 'SI - Payload'!$A$10:$A$38,'SI - Payload'!$B$10:$B$38,"",0), "")</f>
        <v/>
      </c>
      <c r="M77" s="6" t="str">
        <f>IF(Table13[[#This Row],[Category]]="Transportation", "ton", "")</f>
        <v/>
      </c>
      <c r="N77" s="6"/>
      <c r="O77" s="6"/>
      <c r="P77" s="6" t="str">
        <f>IF(OR(Table13[[#This Row],[Type]]="Main Product", Table13[[#This Row],[Type]]="Co-Product"), Table13[[#This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IF(Table13[[#This Row],[Type]]="Co-product", "No", "")</f>
        <v/>
      </c>
      <c r="J78" s="25"/>
      <c r="K78" s="6"/>
      <c r="L78" s="6" t="str">
        <f>IF(Table13[[#This Row],[Category]]="Transportation", _xlfn.XLOOKUP(Table13[[#This Row],[Resource]], 'SI - Payload'!$A$10:$A$38,'SI - Payload'!$B$10:$B$38,"",0), "")</f>
        <v/>
      </c>
      <c r="M78" s="6" t="str">
        <f>IF(Table13[[#This Row],[Category]]="Transportation", "ton", "")</f>
        <v/>
      </c>
      <c r="N78" s="6"/>
      <c r="O78" s="6"/>
      <c r="P78" s="6" t="str">
        <f>IF(OR(Table13[[#This Row],[Type]]="Main Product", Table13[[#This Row],[Type]]="Co-Product"), Table13[[#This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IF(Table13[[#This Row],[Type]]="Co-product", "No", "")</f>
        <v/>
      </c>
      <c r="J79" s="25"/>
      <c r="K79" s="6"/>
      <c r="L79" s="6" t="str">
        <f>IF(Table13[[#This Row],[Category]]="Transportation", _xlfn.XLOOKUP(Table13[[#This Row],[Resource]], 'SI - Payload'!$A$10:$A$38,'SI - Payload'!$B$10:$B$38,"",0), "")</f>
        <v/>
      </c>
      <c r="M79" s="6" t="str">
        <f>IF(Table13[[#This Row],[Category]]="Transportation", "ton", "")</f>
        <v/>
      </c>
      <c r="N79" s="6"/>
      <c r="O79" s="6"/>
      <c r="P79" s="6" t="str">
        <f>IF(OR(Table13[[#This Row],[Type]]="Main Product", Table13[[#This Row],[Type]]="Co-Product"), Table13[[#This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IF(Table13[[#This Row],[Type]]="Co-product", "No", "")</f>
        <v/>
      </c>
      <c r="J80" s="25"/>
      <c r="K80" s="6"/>
      <c r="L80" s="6" t="str">
        <f>IF(Table13[[#This Row],[Category]]="Transportation", _xlfn.XLOOKUP(Table13[[#This Row],[Resource]], 'SI - Payload'!$A$10:$A$38,'SI - Payload'!$B$10:$B$38,"",0), "")</f>
        <v/>
      </c>
      <c r="M80" s="6" t="str">
        <f>IF(Table13[[#This Row],[Category]]="Transportation", "ton", "")</f>
        <v/>
      </c>
      <c r="N80" s="6"/>
      <c r="O80" s="6"/>
      <c r="P80" s="6" t="str">
        <f>IF(OR(Table13[[#This Row],[Type]]="Main Product", Table13[[#This Row],[Type]]="Co-Product"), Table13[[#This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IF(Table13[[#This Row],[Type]]="Co-product", "No", "")</f>
        <v/>
      </c>
      <c r="J81" s="25"/>
      <c r="K81" s="6"/>
      <c r="L81" s="6" t="str">
        <f>IF(Table13[[#This Row],[Category]]="Transportation", _xlfn.XLOOKUP(Table13[[#This Row],[Resource]], 'SI - Payload'!$A$10:$A$38,'SI - Payload'!$B$10:$B$38,"",0), "")</f>
        <v/>
      </c>
      <c r="M81" s="6" t="str">
        <f>IF(Table13[[#This Row],[Category]]="Transportation", "ton", "")</f>
        <v/>
      </c>
      <c r="N81" s="6"/>
      <c r="O81" s="6"/>
      <c r="P81" s="6" t="str">
        <f>IF(OR(Table13[[#This Row],[Type]]="Main Product", Table13[[#This Row],[Type]]="Co-Product"), Table13[[#This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IF(Table13[[#This Row],[Type]]="Co-product", "No", "")</f>
        <v/>
      </c>
      <c r="J82" s="25"/>
      <c r="K82" s="6"/>
      <c r="L82" s="6" t="str">
        <f>IF(Table13[[#This Row],[Category]]="Transportation", _xlfn.XLOOKUP(Table13[[#This Row],[Resource]], 'SI - Payload'!$A$10:$A$38,'SI - Payload'!$B$10:$B$38,"",0), "")</f>
        <v/>
      </c>
      <c r="M82" s="6" t="str">
        <f>IF(Table13[[#This Row],[Category]]="Transportation", "ton", "")</f>
        <v/>
      </c>
      <c r="N82" s="6"/>
      <c r="O82" s="6"/>
      <c r="P82" s="6" t="str">
        <f>IF(OR(Table13[[#This Row],[Type]]="Main Product", Table13[[#This Row],[Type]]="Co-Product"), Table13[[#This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IF(Table13[[#This Row],[Type]]="Co-product", "No", "")</f>
        <v/>
      </c>
      <c r="J83" s="25"/>
      <c r="K83" s="6"/>
      <c r="L83" s="6" t="str">
        <f>IF(Table13[[#This Row],[Category]]="Transportation", _xlfn.XLOOKUP(Table13[[#This Row],[Resource]], 'SI - Payload'!$A$10:$A$38,'SI - Payload'!$B$10:$B$38,"",0), "")</f>
        <v/>
      </c>
      <c r="M83" s="6" t="str">
        <f>IF(Table13[[#This Row],[Category]]="Transportation", "ton", "")</f>
        <v/>
      </c>
      <c r="N83" s="6"/>
      <c r="O83" s="6"/>
      <c r="P83" s="6" t="str">
        <f>IF(OR(Table13[[#This Row],[Type]]="Main Product", Table13[[#This Row],[Type]]="Co-Product"), Table13[[#This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IF(Table13[[#This Row],[Type]]="Co-product", "No", "")</f>
        <v/>
      </c>
      <c r="J84" s="25"/>
      <c r="K84" s="6"/>
      <c r="L84" s="6" t="str">
        <f>IF(Table13[[#This Row],[Category]]="Transportation", _xlfn.XLOOKUP(Table13[[#This Row],[Resource]], 'SI - Payload'!$A$10:$A$38,'SI - Payload'!$B$10:$B$38,"",0), "")</f>
        <v/>
      </c>
      <c r="M84" s="6" t="str">
        <f>IF(Table13[[#This Row],[Category]]="Transportation", "ton", "")</f>
        <v/>
      </c>
      <c r="N84" s="6"/>
      <c r="O84" s="6"/>
      <c r="P84" s="6" t="str">
        <f>IF(OR(Table13[[#This Row],[Type]]="Main Product", Table13[[#This Row],[Type]]="Co-Product"), Table13[[#This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IF(Table13[[#This Row],[Type]]="Co-product", "No", "")</f>
        <v/>
      </c>
      <c r="J85" s="25"/>
      <c r="K85" s="6"/>
      <c r="L85" s="6" t="str">
        <f>IF(Table13[[#This Row],[Category]]="Transportation", _xlfn.XLOOKUP(Table13[[#This Row],[Resource]], 'SI - Payload'!$A$10:$A$38,'SI - Payload'!$B$10:$B$38,"",0), "")</f>
        <v/>
      </c>
      <c r="M85" s="6" t="str">
        <f>IF(Table13[[#This Row],[Category]]="Transportation", "ton", "")</f>
        <v/>
      </c>
      <c r="N85" s="6"/>
      <c r="O85" s="6"/>
      <c r="P85" s="6" t="str">
        <f>IF(OR(Table13[[#This Row],[Type]]="Main Product", Table13[[#This Row],[Type]]="Co-Product"), Table13[[#This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IF(Table13[[#This Row],[Type]]="Co-product", "No", "")</f>
        <v/>
      </c>
      <c r="J86" s="25"/>
      <c r="K86" s="6"/>
      <c r="L86" s="6" t="str">
        <f>IF(Table13[[#This Row],[Category]]="Transportation", _xlfn.XLOOKUP(Table13[[#This Row],[Resource]], 'SI - Payload'!$A$10:$A$38,'SI - Payload'!$B$10:$B$38,"",0), "")</f>
        <v/>
      </c>
      <c r="M86" s="6" t="str">
        <f>IF(Table13[[#This Row],[Category]]="Transportation", "ton", "")</f>
        <v/>
      </c>
      <c r="N86" s="6"/>
      <c r="O86" s="6"/>
      <c r="P86" s="6" t="str">
        <f>IF(OR(Table13[[#This Row],[Type]]="Main Product", Table13[[#This Row],[Type]]="Co-Product"), Table13[[#This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IF(Table13[[#This Row],[Type]]="Co-product", "No", "")</f>
        <v/>
      </c>
      <c r="J87" s="25"/>
      <c r="K87" s="6"/>
      <c r="L87" s="6" t="str">
        <f>IF(Table13[[#This Row],[Category]]="Transportation", _xlfn.XLOOKUP(Table13[[#This Row],[Resource]], 'SI - Payload'!$A$10:$A$38,'SI - Payload'!$B$10:$B$38,"",0), "")</f>
        <v/>
      </c>
      <c r="M87" s="6" t="str">
        <f>IF(Table13[[#This Row],[Category]]="Transportation", "ton", "")</f>
        <v/>
      </c>
      <c r="N87" s="6"/>
      <c r="O87" s="6"/>
      <c r="P87" s="6" t="str">
        <f>IF(OR(Table13[[#This Row],[Type]]="Main Product", Table13[[#This Row],[Type]]="Co-Product"), Table13[[#This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IF(Table13[[#This Row],[Type]]="Co-product", "No", "")</f>
        <v/>
      </c>
      <c r="J88" s="25"/>
      <c r="K88" s="6"/>
      <c r="L88" s="6" t="str">
        <f>IF(Table13[[#This Row],[Category]]="Transportation", _xlfn.XLOOKUP(Table13[[#This Row],[Resource]], 'SI - Payload'!$A$10:$A$38,'SI - Payload'!$B$10:$B$38,"",0), "")</f>
        <v/>
      </c>
      <c r="M88" s="6" t="str">
        <f>IF(Table13[[#This Row],[Category]]="Transportation", "ton", "")</f>
        <v/>
      </c>
      <c r="N88" s="6"/>
      <c r="O88" s="6"/>
      <c r="P88" s="6" t="str">
        <f>IF(OR(Table13[[#This Row],[Type]]="Main Product", Table13[[#This Row],[Type]]="Co-Product"), Table13[[#This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IF(Table13[[#This Row],[Type]]="Co-product", "No", "")</f>
        <v/>
      </c>
      <c r="J89" s="25"/>
      <c r="K89" s="6"/>
      <c r="L89" s="6" t="str">
        <f>IF(Table13[[#This Row],[Category]]="Transportation", _xlfn.XLOOKUP(Table13[[#This Row],[Resource]], 'SI - Payload'!$A$10:$A$38,'SI - Payload'!$B$10:$B$38,"",0), "")</f>
        <v/>
      </c>
      <c r="M89" s="6" t="str">
        <f>IF(Table13[[#This Row],[Category]]="Transportation", "ton", "")</f>
        <v/>
      </c>
      <c r="N89" s="6"/>
      <c r="O89" s="6"/>
      <c r="P89" s="6" t="str">
        <f>IF(OR(Table13[[#This Row],[Type]]="Main Product", Table13[[#This Row],[Type]]="Co-Product"), Table13[[#This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IF(Table13[[#This Row],[Type]]="Co-product", "No", "")</f>
        <v/>
      </c>
      <c r="J90" s="25"/>
      <c r="K90" s="6"/>
      <c r="L90" s="6" t="str">
        <f>IF(Table13[[#This Row],[Category]]="Transportation", _xlfn.XLOOKUP(Table13[[#This Row],[Resource]], 'SI - Payload'!$A$10:$A$38,'SI - Payload'!$B$10:$B$38,"",0), "")</f>
        <v/>
      </c>
      <c r="M90" s="6" t="str">
        <f>IF(Table13[[#This Row],[Category]]="Transportation", "ton", "")</f>
        <v/>
      </c>
      <c r="N90" s="6"/>
      <c r="O90" s="6"/>
      <c r="P90" s="6" t="str">
        <f>IF(OR(Table13[[#This Row],[Type]]="Main Product", Table13[[#This Row],[Type]]="Co-Product"), Table13[[#This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IF(Table13[[#This Row],[Type]]="Co-product", "No", "")</f>
        <v/>
      </c>
      <c r="J91" s="25"/>
      <c r="K91" s="6"/>
      <c r="L91" s="6" t="str">
        <f>IF(Table13[[#This Row],[Category]]="Transportation", _xlfn.XLOOKUP(Table13[[#This Row],[Resource]], 'SI - Payload'!$A$10:$A$38,'SI - Payload'!$B$10:$B$38,"",0), "")</f>
        <v/>
      </c>
      <c r="M91" s="6" t="str">
        <f>IF(Table13[[#This Row],[Category]]="Transportation", "ton", "")</f>
        <v/>
      </c>
      <c r="N91" s="6"/>
      <c r="O91" s="6"/>
      <c r="P91" s="6" t="str">
        <f>IF(OR(Table13[[#This Row],[Type]]="Main Product", Table13[[#This Row],[Type]]="Co-Product"), Table13[[#This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IF(Table13[[#This Row],[Type]]="Co-product", "No", "")</f>
        <v/>
      </c>
      <c r="J92" s="25"/>
      <c r="K92" s="6"/>
      <c r="L92" s="6" t="str">
        <f>IF(Table13[[#This Row],[Category]]="Transportation", _xlfn.XLOOKUP(Table13[[#This Row],[Resource]], 'SI - Payload'!$A$10:$A$38,'SI - Payload'!$B$10:$B$38,"",0), "")</f>
        <v/>
      </c>
      <c r="M92" s="6" t="str">
        <f>IF(Table13[[#This Row],[Category]]="Transportation", "ton", "")</f>
        <v/>
      </c>
      <c r="N92" s="6"/>
      <c r="O92" s="6"/>
      <c r="P92" s="6" t="str">
        <f>IF(OR(Table13[[#This Row],[Type]]="Main Product", Table13[[#This Row],[Type]]="Co-Product"), Table13[[#This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IF(Table13[[#This Row],[Type]]="Co-product", "No", "")</f>
        <v/>
      </c>
      <c r="J93" s="25"/>
      <c r="K93" s="6"/>
      <c r="L93" s="6" t="str">
        <f>IF(Table13[[#This Row],[Category]]="Transportation", _xlfn.XLOOKUP(Table13[[#This Row],[Resource]], 'SI - Payload'!$A$10:$A$38,'SI - Payload'!$B$10:$B$38,"",0), "")</f>
        <v/>
      </c>
      <c r="M93" s="6" t="str">
        <f>IF(Table13[[#This Row],[Category]]="Transportation", "ton", "")</f>
        <v/>
      </c>
      <c r="N93" s="6"/>
      <c r="O93" s="6"/>
      <c r="P93" s="6" t="str">
        <f>IF(OR(Table13[[#This Row],[Type]]="Main Product", Table13[[#This Row],[Type]]="Co-Product"), Table13[[#This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IF(Table13[[#This Row],[Type]]="Co-product", "No", "")</f>
        <v/>
      </c>
      <c r="J94" s="25"/>
      <c r="K94" s="6"/>
      <c r="L94" s="6" t="str">
        <f>IF(Table13[[#This Row],[Category]]="Transportation", _xlfn.XLOOKUP(Table13[[#This Row],[Resource]], 'SI - Payload'!$A$10:$A$38,'SI - Payload'!$B$10:$B$38,"",0), "")</f>
        <v/>
      </c>
      <c r="M94" s="6" t="str">
        <f>IF(Table13[[#This Row],[Category]]="Transportation", "ton", "")</f>
        <v/>
      </c>
      <c r="N94" s="6"/>
      <c r="O94" s="6"/>
      <c r="P94" s="6" t="str">
        <f>IF(OR(Table13[[#This Row],[Type]]="Main Product", Table13[[#This Row],[Type]]="Co-Product"), Table13[[#This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IF(Table13[[#This Row],[Type]]="Co-product", "No", "")</f>
        <v/>
      </c>
      <c r="J95" s="25"/>
      <c r="K95" s="6"/>
      <c r="L95" s="6" t="str">
        <f>IF(Table13[[#This Row],[Category]]="Transportation", _xlfn.XLOOKUP(Table13[[#This Row],[Resource]], 'SI - Payload'!$A$10:$A$38,'SI - Payload'!$B$10:$B$38,"",0), "")</f>
        <v/>
      </c>
      <c r="M95" s="6" t="str">
        <f>IF(Table13[[#This Row],[Category]]="Transportation", "ton", "")</f>
        <v/>
      </c>
      <c r="N95" s="6"/>
      <c r="O95" s="6"/>
      <c r="P95" s="6" t="str">
        <f>IF(OR(Table13[[#This Row],[Type]]="Main Product", Table13[[#This Row],[Type]]="Co-Product"), Table13[[#This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IF(Table13[[#This Row],[Type]]="Co-product", "No", "")</f>
        <v/>
      </c>
      <c r="J96" s="25"/>
      <c r="K96" s="6"/>
      <c r="L96" s="6" t="str">
        <f>IF(Table13[[#This Row],[Category]]="Transportation", _xlfn.XLOOKUP(Table13[[#This Row],[Resource]], 'SI - Payload'!$A$10:$A$38,'SI - Payload'!$B$10:$B$38,"",0), "")</f>
        <v/>
      </c>
      <c r="M96" s="6" t="str">
        <f>IF(Table13[[#This Row],[Category]]="Transportation", "ton", "")</f>
        <v/>
      </c>
      <c r="N96" s="6"/>
      <c r="O96" s="6"/>
      <c r="P96" s="6" t="str">
        <f>IF(OR(Table13[[#This Row],[Type]]="Main Product", Table13[[#This Row],[Type]]="Co-Product"), Table13[[#This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IF(Table13[[#This Row],[Type]]="Co-product", "No", "")</f>
        <v/>
      </c>
      <c r="J97" s="25"/>
      <c r="K97" s="6"/>
      <c r="L97" s="6" t="str">
        <f>IF(Table13[[#This Row],[Category]]="Transportation", _xlfn.XLOOKUP(Table13[[#This Row],[Resource]], 'SI - Payload'!$A$10:$A$38,'SI - Payload'!$B$10:$B$38,"",0), "")</f>
        <v/>
      </c>
      <c r="M97" s="6" t="str">
        <f>IF(Table13[[#This Row],[Category]]="Transportation", "ton", "")</f>
        <v/>
      </c>
      <c r="N97" s="6"/>
      <c r="O97" s="6"/>
      <c r="P97" s="6" t="str">
        <f>IF(OR(Table13[[#This Row],[Type]]="Main Product", Table13[[#This Row],[Type]]="Co-Product"), Table13[[#This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IF(Table13[[#This Row],[Type]]="Co-product", "No", "")</f>
        <v/>
      </c>
      <c r="J98" s="25"/>
      <c r="K98" s="6"/>
      <c r="L98" s="6" t="str">
        <f>IF(Table13[[#This Row],[Category]]="Transportation", _xlfn.XLOOKUP(Table13[[#This Row],[Resource]], 'SI - Payload'!$A$10:$A$38,'SI - Payload'!$B$10:$B$38,"",0), "")</f>
        <v/>
      </c>
      <c r="M98" s="6" t="str">
        <f>IF(Table13[[#This Row],[Category]]="Transportation", "ton", "")</f>
        <v/>
      </c>
      <c r="N98" s="6"/>
      <c r="O98" s="6"/>
      <c r="P98" s="6" t="str">
        <f>IF(OR(Table13[[#This Row],[Type]]="Main Product", Table13[[#This Row],[Type]]="Co-Product"), Table13[[#This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IF(Table13[[#This Row],[Type]]="Co-product", "No", "")</f>
        <v/>
      </c>
      <c r="J99" s="25"/>
      <c r="K99" s="6"/>
      <c r="L99" s="6" t="str">
        <f>IF(Table13[[#This Row],[Category]]="Transportation", _xlfn.XLOOKUP(Table13[[#This Row],[Resource]], 'SI - Payload'!$A$10:$A$38,'SI - Payload'!$B$10:$B$38,"",0), "")</f>
        <v/>
      </c>
      <c r="M99" s="6" t="str">
        <f>IF(Table13[[#This Row],[Category]]="Transportation", "ton", "")</f>
        <v/>
      </c>
      <c r="N99" s="6"/>
      <c r="O99" s="6"/>
      <c r="P99" s="6" t="str">
        <f>IF(OR(Table13[[#This Row],[Type]]="Main Product", Table13[[#This Row],[Type]]="Co-Product"), Table13[[#This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IF(Table13[[#This Row],[Type]]="Co-product", "No", "")</f>
        <v/>
      </c>
      <c r="J100" s="25"/>
      <c r="K100" s="6"/>
      <c r="L100" s="6" t="str">
        <f>IF(Table13[[#This Row],[Category]]="Transportation", _xlfn.XLOOKUP(Table13[[#This Row],[Resource]], 'SI - Payload'!$A$10:$A$38,'SI - Payload'!$B$10:$B$38,"",0), "")</f>
        <v/>
      </c>
      <c r="M100" s="6" t="str">
        <f>IF(Table13[[#This Row],[Category]]="Transportation", "ton", "")</f>
        <v/>
      </c>
      <c r="N100" s="6"/>
      <c r="O100" s="6"/>
      <c r="P100" s="6" t="str">
        <f>IF(OR(Table13[[#This Row],[Type]]="Main Product", Table13[[#This Row],[Type]]="Co-Product"), Table13[[#This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ACCDC048-97B1-4964-9222-E81C64E62D42}">
      <formula1>0</formula1>
      <formula2>1</formula2>
    </dataValidation>
    <dataValidation type="list" allowBlank="1" showInputMessage="1" showErrorMessage="1" sqref="M6:M100" xr:uid="{BED8EAAF-49DA-42CC-9170-46B84367A836}">
      <formula1>payload_units</formula1>
    </dataValidation>
    <dataValidation type="decimal" operator="greaterThan" allowBlank="1" showInputMessage="1" showErrorMessage="1" error="Please type a positive number." sqref="L6:L100" xr:uid="{3C3BAE13-B35B-479C-8801-EED162D06B48}">
      <formula1>0</formula1>
    </dataValidation>
    <dataValidation type="decimal" operator="greaterThan" allowBlank="1" showInputMessage="1" showErrorMessage="1" error="Please type a positive price." sqref="N6:N100" xr:uid="{408C2C64-4EFE-47AF-B0A7-FCA04A904D74}">
      <formula1>0</formula1>
    </dataValidation>
    <dataValidation type="decimal" allowBlank="1" showInputMessage="1" showErrorMessage="1" error="Please type a number between 0 and 1." sqref="G6:G100" xr:uid="{9E346CC5-32E2-4B6B-B32C-89D8DF594F6E}">
      <formula1>0</formula1>
      <formula2>1</formula2>
    </dataValidation>
    <dataValidation type="custom" allowBlank="1" showInputMessage="1" showErrorMessage="1" sqref="E6:E100" xr:uid="{EC265C5F-EBAD-4ED8-8863-7179EFF74544}">
      <formula1>ISNUMBER(E6)</formula1>
    </dataValidation>
    <dataValidation type="list" allowBlank="1" showInputMessage="1" showErrorMessage="1" sqref="C2" xr:uid="{C4F88C08-C100-44BD-9774-D9D10682408F}">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61CD53B-BBB8-4EC2-B85F-902B38D8774B}">
          <x14:formula1>
            <xm:f>IF($B6="Transportation",  transport_units, INDIRECT(_xlfn.XLOOKUP($C6, 'SI - Units'!$F$26:$F$36,'SI - Units'!$G$26:$G$36,"mass",0)))</xm:f>
          </x14:formula1>
          <xm:sqref>F6:F100</xm:sqref>
        </x14:dataValidation>
        <x14:dataValidation type="list" allowBlank="1" showInputMessage="1" showErrorMessage="1" xr:uid="{DF7515D5-C1EF-47AB-A55E-98634CDCEBE4}">
          <x14:formula1>
            <xm:f>INDIRECT("p_"&amp;_xlfn.XLOOKUP($C6,'SI - Units'!$F$26:$F$36,'SI - Units'!$G$26:$G$36,"mass",0))</xm:f>
          </x14:formula1>
          <xm:sqref>O6:O100</xm:sqref>
        </x14:dataValidation>
        <x14:dataValidation type="list" allowBlank="1" showInputMessage="1" showErrorMessage="1" xr:uid="{1E002979-95F8-46C9-983B-4038C5BF9853}">
          <x14:formula1>
            <xm:f>INDIRECT(_xlfn.XLOOKUP($P6,'SI - End Use'!$A$11:$A$17,'SI - End Use'!$B$11:$B$17,"other_end_use",0))</xm:f>
          </x14:formula1>
          <xm:sqref>Q6:Q100</xm:sqref>
        </x14:dataValidation>
        <x14:dataValidation type="list" allowBlank="1" showInputMessage="1" xr:uid="{50B61269-4E8F-460F-ADDD-9792461701AF}">
          <x14:formula1>
            <xm:f>INDIRECT(_xlfn.XLOOKUP($C6,'SI - End Use'!$A$11:$A$17,'SI - End Use'!$B$11:$B$17,"other_end_use",0))</xm:f>
          </x14:formula1>
          <xm:sqref>D6:D100</xm:sqref>
        </x14:dataValidation>
        <x14:dataValidation type="list" allowBlank="1" showInputMessage="1" showErrorMessage="1" xr:uid="{5BCA4BFD-1843-4486-BD45-7A7EBA6280F5}">
          <x14:formula1>
            <xm:f>INDIRECT(_xlfn.XLOOKUP($B6, 'SI - Resources'!$R$1:$R$10,'SI - Resources'!$S$1:$S$10, "placeholder_resource", 0))</xm:f>
          </x14:formula1>
          <xm:sqref>P6:P100 C6:C100</xm:sqref>
        </x14:dataValidation>
        <x14:dataValidation type="list" allowBlank="1" showInputMessage="1" showErrorMessage="1" xr:uid="{8E0BEF48-6CE5-4345-BED5-773327522537}">
          <x14:formula1>
            <xm:f>'SI - Co-products'!$B$2:$B$6</xm:f>
          </x14:formula1>
          <xm:sqref>A6:A100</xm:sqref>
        </x14:dataValidation>
        <x14:dataValidation type="list" allowBlank="1" showInputMessage="1" showErrorMessage="1" xr:uid="{C67C887C-6729-44A4-8C3C-009F4847D280}">
          <x14:formula1>
            <xm:f>'SI - Resources'!$A$1:$J$1</xm:f>
          </x14:formula1>
          <xm:sqref>B6:B100</xm:sqref>
        </x14:dataValidation>
        <x14:dataValidation type="list" allowBlank="1" showInputMessage="1" showErrorMessage="1" xr:uid="{36E02FFD-D5F6-4AB5-9850-C03D89BB77B2}">
          <x14:formula1>
            <xm:f>'SI - Co-products'!$C$2:$C$4</xm:f>
          </x14:formula1>
          <xm:sqref>I6:I100</xm:sqref>
        </x14:dataValidation>
        <x14:dataValidation type="list" allowBlank="1" showInputMessage="1" showErrorMessage="1" xr:uid="{8C4720FA-C59D-4AB1-90C0-5AB0003A2CFC}">
          <x14:formula1>
            <xm:f>'SI - Co-products'!$A$2:$A$5</xm:f>
          </x14:formula1>
          <xm:sqref>K6:K100</xm:sqref>
        </x14:dataValidation>
        <x14:dataValidation type="list" allowBlank="1" showInputMessage="1" showErrorMessage="1" xr:uid="{E093464D-201E-4629-9A92-855841FE4017}">
          <x14:formula1>
            <xm:f>_xlfn.XLOOKUP(_xlfn.XLOOKUP(#REF!,'SI - Units'!$B$24:$B$109,'SI - Units'!$C$24:$C$109),'SI - Units'!$A$2:$A$8,'SI - Units'!$B$2:$R$8)</xm:f>
          </x14:formula1>
          <xm:sqref>F5</xm:sqref>
        </x14:dataValidation>
        <x14:dataValidation type="list" allowBlank="1" showInputMessage="1" showErrorMessage="1" xr:uid="{88944D59-5D21-4AA0-901D-E9EDADB65C6D}">
          <x14:formula1>
            <xm:f>'SI - Co-products'!$D$2:$D$8</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5E5B21-8029-4A8D-AE5C-EEFAA9484672}">
  <sheetPr codeName="Sheet11"/>
  <dimension ref="A1:T100"/>
  <sheetViews>
    <sheetView topLeftCell="J1" workbookViewId="0">
      <pane ySplit="5" topLeftCell="A6" activePane="bottomLeft" state="frozen"/>
      <selection activeCell="C19" sqref="C19"/>
      <selection pane="bottomLeft" activeCell="R6" sqref="R6:R10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124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217</v>
      </c>
      <c r="C6" s="6" t="s">
        <v>239</v>
      </c>
      <c r="D6" s="6" t="s">
        <v>337</v>
      </c>
      <c r="E6" s="12">
        <v>38962</v>
      </c>
      <c r="F6" s="6" t="s">
        <v>59</v>
      </c>
      <c r="G6" s="25"/>
      <c r="H6" s="25" t="s">
        <v>338</v>
      </c>
      <c r="I6" s="26" t="str">
        <f>IF(Table16[[#This Row],[Type]]="Co-product", "No", "")</f>
        <v/>
      </c>
      <c r="J6" s="25"/>
      <c r="K6" s="6"/>
      <c r="L6" s="6" t="str">
        <f>IF(Table16[[#This Row],[Category]]="Transportation", _xlfn.XLOOKUP(Table16[[#This Row],[Resource]], 'SI - Payload'!$A$10:$A$38,'SI - Payload'!$B$10:$B$38,"",0), "")</f>
        <v/>
      </c>
      <c r="M6" s="6" t="str">
        <f>IF(Table16[[#This Row],[Category]]="Transportation", "ton", "")</f>
        <v/>
      </c>
      <c r="N6" s="6"/>
      <c r="O6" s="6"/>
      <c r="P6" s="6" t="str">
        <f>IF(OR(Table16[[#This Row],[Type]]="Main Product", Table16[[#This Row],[Type]]="Co-Product"), Table16[[#This Row],[Resource]], "")</f>
        <v/>
      </c>
      <c r="Q6" s="6" t="str">
        <f>IF(_xlfn.XLOOKUP($P6,'SI - End Use'!$B$2:$B$6,'SI - End Use'!$C$2:$C$6, "")="", "", _xlfn.XLOOKUP($C6,'SI - End Use'!$B$2:$B$6,'SI - End Use'!$C$2:$C$6, ""))</f>
        <v/>
      </c>
      <c r="R6" s="6"/>
      <c r="S6" s="6"/>
      <c r="T6" s="6"/>
    </row>
    <row r="7" spans="1:20" x14ac:dyDescent="0.35">
      <c r="A7" s="6" t="s">
        <v>0</v>
      </c>
      <c r="B7" s="6" t="s">
        <v>244</v>
      </c>
      <c r="C7" s="6" t="s">
        <v>24</v>
      </c>
      <c r="D7" s="6" t="s">
        <v>232</v>
      </c>
      <c r="E7" s="12">
        <v>2182</v>
      </c>
      <c r="F7" s="6" t="s">
        <v>59</v>
      </c>
      <c r="G7" s="25"/>
      <c r="H7" s="25"/>
      <c r="I7" s="26" t="str">
        <f>IF(Table16[[#This Row],[Type]]="Co-product", "No", "")</f>
        <v/>
      </c>
      <c r="J7" s="25"/>
      <c r="K7" s="6"/>
      <c r="L7" s="6" t="str">
        <f>IF(Table16[[#This Row],[Category]]="Transportation", _xlfn.XLOOKUP(Table16[[#This Row],[Resource]], 'SI - Payload'!$A$10:$A$38,'SI - Payload'!$B$10:$B$38,"",0), "")</f>
        <v/>
      </c>
      <c r="M7" s="6" t="str">
        <f>IF(Table16[[#This Row],[Category]]="Transportation", "ton", "")</f>
        <v/>
      </c>
      <c r="N7" s="6"/>
      <c r="O7" s="6"/>
      <c r="P7" s="6" t="str">
        <f>IF(OR(Table16[[#This Row],[Type]]="Main Product", Table16[[#This Row],[Type]]="Co-Product"), Table16[[#This Row],[Resource]], "")</f>
        <v/>
      </c>
      <c r="Q7" s="6" t="str">
        <f>IF(_xlfn.XLOOKUP($P7,'SI - End Use'!$B$2:$B$6,'SI - End Use'!$C$2:$C$6, "")="", "", _xlfn.XLOOKUP($C7,'SI - End Use'!$B$2:$B$6,'SI - End Use'!$C$2:$C$6, ""))</f>
        <v/>
      </c>
      <c r="R7" s="6"/>
      <c r="S7" s="6"/>
      <c r="T7" s="6"/>
    </row>
    <row r="8" spans="1:20" x14ac:dyDescent="0.35">
      <c r="A8" s="6" t="s">
        <v>0</v>
      </c>
      <c r="B8" s="6" t="s">
        <v>3</v>
      </c>
      <c r="C8" s="6" t="s">
        <v>3</v>
      </c>
      <c r="D8" s="6" t="s">
        <v>10</v>
      </c>
      <c r="E8" s="12">
        <v>1673</v>
      </c>
      <c r="F8" s="6" t="s">
        <v>68</v>
      </c>
      <c r="G8" s="25"/>
      <c r="H8" s="25"/>
      <c r="I8" s="26" t="str">
        <f>IF(Table16[[#This Row],[Type]]="Co-product", "No", "")</f>
        <v/>
      </c>
      <c r="J8" s="25"/>
      <c r="K8" s="6"/>
      <c r="L8" s="6" t="str">
        <f>IF(Table16[[#This Row],[Category]]="Transportation", _xlfn.XLOOKUP(Table16[[#This Row],[Resource]], 'SI - Payload'!$A$10:$A$38,'SI - Payload'!$B$10:$B$38,"",0), "")</f>
        <v/>
      </c>
      <c r="M8" s="6" t="str">
        <f>IF(Table16[[#This Row],[Category]]="Transportation", "ton", "")</f>
        <v/>
      </c>
      <c r="N8" s="6"/>
      <c r="O8" s="6"/>
      <c r="P8" s="6" t="str">
        <f>IF(OR(Table16[[#This Row],[Type]]="Main Product", Table16[[#This Row],[Type]]="Co-Product"), Table16[[#This Row],[Resource]], "")</f>
        <v/>
      </c>
      <c r="Q8" s="6" t="str">
        <f>IF(_xlfn.XLOOKUP($P8,'SI - End Use'!$B$2:$B$6,'SI - End Use'!$C$2:$C$6, "")="", "", _xlfn.XLOOKUP($C8,'SI - End Use'!$B$2:$B$6,'SI - End Use'!$C$2:$C$6, ""))</f>
        <v/>
      </c>
      <c r="R8" s="6"/>
      <c r="S8" s="6"/>
      <c r="T8" s="6"/>
    </row>
    <row r="9" spans="1:20" x14ac:dyDescent="0.35">
      <c r="A9" s="6" t="s">
        <v>0</v>
      </c>
      <c r="B9" s="6" t="s">
        <v>37</v>
      </c>
      <c r="C9" s="6" t="s">
        <v>235</v>
      </c>
      <c r="D9" s="6" t="s">
        <v>337</v>
      </c>
      <c r="E9" s="12">
        <v>29.843721144967688</v>
      </c>
      <c r="F9" s="6" t="s">
        <v>59</v>
      </c>
      <c r="G9" s="25"/>
      <c r="H9" s="25"/>
      <c r="I9" s="26" t="str">
        <f>IF(Table16[[#This Row],[Type]]="Co-product", "No", "")</f>
        <v/>
      </c>
      <c r="J9" s="25"/>
      <c r="K9" s="6"/>
      <c r="L9" s="6" t="str">
        <f>IF(Table16[[#This Row],[Category]]="Transportation", _xlfn.XLOOKUP(Table16[[#This Row],[Resource]], 'SI - Payload'!$A$10:$A$38,'SI - Payload'!$B$10:$B$38,"",0), "")</f>
        <v/>
      </c>
      <c r="M9" s="6" t="str">
        <f>IF(Table16[[#This Row],[Category]]="Transportation", "ton", "")</f>
        <v/>
      </c>
      <c r="N9" s="6"/>
      <c r="O9" s="6"/>
      <c r="P9" s="6" t="str">
        <f>IF(OR(Table16[[#This Row],[Type]]="Main Product", Table16[[#This Row],[Type]]="Co-Product"), Table16[[#This Row],[Resource]], "")</f>
        <v/>
      </c>
      <c r="Q9" s="6" t="str">
        <f>IF(_xlfn.XLOOKUP($P9,'SI - End Use'!$B$2:$B$6,'SI - End Use'!$C$2:$C$6, "")="", "", _xlfn.XLOOKUP($C9,'SI - End Use'!$B$2:$B$6,'SI - End Use'!$C$2:$C$6, ""))</f>
        <v/>
      </c>
      <c r="R9" s="6"/>
      <c r="S9" s="6"/>
      <c r="T9" s="6"/>
    </row>
    <row r="10" spans="1:20" x14ac:dyDescent="0.35">
      <c r="A10" s="6" t="s">
        <v>0</v>
      </c>
      <c r="B10" s="6" t="s">
        <v>37</v>
      </c>
      <c r="C10" s="6" t="s">
        <v>236</v>
      </c>
      <c r="D10" s="6" t="s">
        <v>337</v>
      </c>
      <c r="E10" s="12">
        <v>4.8088410991636801</v>
      </c>
      <c r="F10" s="6" t="s">
        <v>59</v>
      </c>
      <c r="G10" s="25"/>
      <c r="H10" s="25"/>
      <c r="I10" s="26" t="str">
        <f>IF(Table16[[#This Row],[Type]]="Co-product", "No", "")</f>
        <v/>
      </c>
      <c r="J10" s="25"/>
      <c r="K10" s="6"/>
      <c r="L10" s="6" t="str">
        <f>IF(Table16[[#This Row],[Category]]="Transportation", _xlfn.XLOOKUP(Table16[[#This Row],[Resource]], 'SI - Payload'!$A$10:$A$38,'SI - Payload'!$B$10:$B$38,"",0), "")</f>
        <v/>
      </c>
      <c r="M10" s="6" t="str">
        <f>IF(Table16[[#This Row],[Category]]="Transportation", "ton", "")</f>
        <v/>
      </c>
      <c r="N10" s="6"/>
      <c r="O10" s="6"/>
      <c r="P10" s="6" t="str">
        <f>IF(OR(Table16[[#This Row],[Type]]="Main Product", Table16[[#This Row],[Type]]="Co-Product"), Table16[[#This Row],[Resource]], "")</f>
        <v/>
      </c>
      <c r="Q10" s="6" t="str">
        <f>IF(_xlfn.XLOOKUP($P10,'SI - End Use'!$B$2:$B$6,'SI - End Use'!$C$2:$C$6, "")="", "", _xlfn.XLOOKUP($C10,'SI - End Use'!$B$2:$B$6,'SI - End Use'!$C$2:$C$6, ""))</f>
        <v/>
      </c>
      <c r="R10" s="6"/>
      <c r="S10" s="6"/>
      <c r="T10" s="6"/>
    </row>
    <row r="11" spans="1:20" x14ac:dyDescent="0.35">
      <c r="A11" s="6" t="s">
        <v>0</v>
      </c>
      <c r="B11" s="6" t="s">
        <v>37</v>
      </c>
      <c r="C11" s="6" t="s">
        <v>237</v>
      </c>
      <c r="D11" s="6" t="s">
        <v>337</v>
      </c>
      <c r="E11" s="12">
        <v>0.24611221499130057</v>
      </c>
      <c r="F11" s="6" t="s">
        <v>59</v>
      </c>
      <c r="G11" s="25"/>
      <c r="H11" s="25"/>
      <c r="I11" s="26" t="str">
        <f>IF(Table16[[#This Row],[Type]]="Co-product", "No", "")</f>
        <v/>
      </c>
      <c r="J11" s="25"/>
      <c r="K11" s="6"/>
      <c r="L11" s="6" t="str">
        <f>IF(Table16[[#This Row],[Category]]="Transportation", _xlfn.XLOOKUP(Table16[[#This Row],[Resource]], 'SI - Payload'!$A$10:$A$38,'SI - Payload'!$B$10:$B$38,"",0), "")</f>
        <v/>
      </c>
      <c r="M11" s="6" t="str">
        <f>IF(Table16[[#This Row],[Category]]="Transportation", "ton", "")</f>
        <v/>
      </c>
      <c r="N11" s="6"/>
      <c r="O11" s="6"/>
      <c r="P11" s="6" t="str">
        <f>IF(OR(Table16[[#This Row],[Type]]="Main Product", Table16[[#This Row],[Type]]="Co-Product"), Table16[[#This Row],[Resource]], "")</f>
        <v/>
      </c>
      <c r="Q11" s="6" t="str">
        <f>IF(_xlfn.XLOOKUP($P11,'SI - End Use'!$B$2:$B$6,'SI - End Use'!$C$2:$C$6, "")="", "", _xlfn.XLOOKUP($C11,'SI - End Use'!$B$2:$B$6,'SI - End Use'!$C$2:$C$6, ""))</f>
        <v/>
      </c>
      <c r="R11" s="6"/>
      <c r="S11" s="6"/>
      <c r="T11" s="6"/>
    </row>
    <row r="12" spans="1:20" x14ac:dyDescent="0.35">
      <c r="A12" s="6" t="s">
        <v>0</v>
      </c>
      <c r="B12" s="6" t="s">
        <v>37</v>
      </c>
      <c r="C12" s="6" t="s">
        <v>238</v>
      </c>
      <c r="D12" s="6" t="s">
        <v>337</v>
      </c>
      <c r="E12" s="12">
        <v>0.4</v>
      </c>
      <c r="F12" s="6" t="s">
        <v>59</v>
      </c>
      <c r="G12" s="25"/>
      <c r="H12" s="25"/>
      <c r="I12" s="26" t="str">
        <f>IF(Table16[[#This Row],[Type]]="Co-product", "No", "")</f>
        <v/>
      </c>
      <c r="J12" s="25"/>
      <c r="K12" s="6"/>
      <c r="L12" s="6" t="str">
        <f>IF(Table16[[#This Row],[Category]]="Transportation", _xlfn.XLOOKUP(Table16[[#This Row],[Resource]], 'SI - Payload'!$A$10:$A$38,'SI - Payload'!$B$10:$B$38,"",0), "")</f>
        <v/>
      </c>
      <c r="M12" s="6" t="str">
        <f>IF(Table16[[#This Row],[Category]]="Transportation", "ton", "")</f>
        <v/>
      </c>
      <c r="N12" s="6"/>
      <c r="O12" s="6"/>
      <c r="P12" s="6" t="str">
        <f>IF(OR(Table16[[#This Row],[Type]]="Main Product", Table16[[#This Row],[Type]]="Co-Product"), Table16[[#This Row],[Resource]], "")</f>
        <v/>
      </c>
      <c r="Q12" s="6" t="str">
        <f>IF(_xlfn.XLOOKUP($P12,'SI - End Use'!$B$2:$B$6,'SI - End Use'!$C$2:$C$6, "")="", "", _xlfn.XLOOKUP($C12,'SI - End Use'!$B$2:$B$6,'SI - End Use'!$C$2:$C$6, ""))</f>
        <v/>
      </c>
      <c r="R12" s="6"/>
      <c r="S12" s="6"/>
      <c r="T12" s="6"/>
    </row>
    <row r="13" spans="1:20" x14ac:dyDescent="0.35">
      <c r="A13" s="6" t="s">
        <v>0</v>
      </c>
      <c r="B13" s="6" t="s">
        <v>29</v>
      </c>
      <c r="C13" s="6" t="s">
        <v>29</v>
      </c>
      <c r="D13" s="6" t="s">
        <v>337</v>
      </c>
      <c r="E13" s="12">
        <v>25049.700867629836</v>
      </c>
      <c r="F13" s="6" t="s">
        <v>59</v>
      </c>
      <c r="G13" s="25"/>
      <c r="H13" s="25"/>
      <c r="I13" s="26" t="str">
        <f>IF(Table16[[#This Row],[Type]]="Co-product", "No", "")</f>
        <v/>
      </c>
      <c r="J13" s="25"/>
      <c r="K13" s="6"/>
      <c r="L13" s="6" t="str">
        <f>IF(Table16[[#This Row],[Category]]="Transportation", _xlfn.XLOOKUP(Table16[[#This Row],[Resource]], 'SI - Payload'!$A$10:$A$38,'SI - Payload'!$B$10:$B$38,"",0), "")</f>
        <v/>
      </c>
      <c r="M13" s="6" t="str">
        <f>IF(Table16[[#This Row],[Category]]="Transportation", "ton", "")</f>
        <v/>
      </c>
      <c r="N13" s="6"/>
      <c r="O13" s="6"/>
      <c r="P13" s="6" t="str">
        <f>IF(OR(Table16[[#This Row],[Type]]="Main Product", Table16[[#This Row],[Type]]="Co-Product"), Table16[[#This Row],[Resource]], "")</f>
        <v/>
      </c>
      <c r="Q13" s="6" t="str">
        <f>IF(_xlfn.XLOOKUP($P13,'SI - End Use'!$B$2:$B$6,'SI - End Use'!$C$2:$C$6, "")="", "", _xlfn.XLOOKUP($C13,'SI - End Use'!$B$2:$B$6,'SI - End Use'!$C$2:$C$6, ""))</f>
        <v/>
      </c>
      <c r="R13" s="6"/>
      <c r="S13" s="6"/>
      <c r="T13" s="6"/>
    </row>
    <row r="14" spans="1:20" x14ac:dyDescent="0.35">
      <c r="A14" s="6" t="s">
        <v>0</v>
      </c>
      <c r="B14" s="6" t="s">
        <v>29</v>
      </c>
      <c r="C14" s="6" t="s">
        <v>29</v>
      </c>
      <c r="D14" s="6" t="s">
        <v>337</v>
      </c>
      <c r="E14" s="12">
        <v>11021</v>
      </c>
      <c r="F14" s="6" t="s">
        <v>59</v>
      </c>
      <c r="G14" s="25"/>
      <c r="H14" s="25"/>
      <c r="I14" s="26" t="str">
        <f>IF(Table16[[#This Row],[Type]]="Co-product", "No", "")</f>
        <v/>
      </c>
      <c r="J14" s="25"/>
      <c r="K14" s="6"/>
      <c r="L14" s="6" t="str">
        <f>IF(Table16[[#This Row],[Category]]="Transportation", _xlfn.XLOOKUP(Table16[[#This Row],[Resource]], 'SI - Payload'!$A$10:$A$38,'SI - Payload'!$B$10:$B$38,"",0), "")</f>
        <v/>
      </c>
      <c r="M14" s="6" t="str">
        <f>IF(Table16[[#This Row],[Category]]="Transportation", "ton", "")</f>
        <v/>
      </c>
      <c r="N14" s="6"/>
      <c r="O14" s="6"/>
      <c r="P14" s="6" t="str">
        <f>IF(OR(Table16[[#This Row],[Type]]="Main Product", Table16[[#This Row],[Type]]="Co-Product"), Table16[[#This Row],[Resource]], "")</f>
        <v/>
      </c>
      <c r="Q14" s="6" t="str">
        <f>IF(_xlfn.XLOOKUP($P14,'SI - End Use'!$B$2:$B$6,'SI - End Use'!$C$2:$C$6, "")="", "", _xlfn.XLOOKUP($C14,'SI - End Use'!$B$2:$B$6,'SI - End Use'!$C$2:$C$6, ""))</f>
        <v/>
      </c>
      <c r="R14" s="6"/>
      <c r="S14" s="6"/>
      <c r="T14" s="6"/>
    </row>
    <row r="15" spans="1:20" x14ac:dyDescent="0.35">
      <c r="A15" s="6" t="s">
        <v>113</v>
      </c>
      <c r="B15" s="6" t="s">
        <v>244</v>
      </c>
      <c r="C15" s="6" t="s">
        <v>71</v>
      </c>
      <c r="D15" s="6" t="s">
        <v>241</v>
      </c>
      <c r="E15" s="12">
        <v>554.91562999999996</v>
      </c>
      <c r="F15" s="6" t="s">
        <v>70</v>
      </c>
      <c r="G15" s="25"/>
      <c r="H15" s="25"/>
      <c r="I15" s="26" t="str">
        <f>IF(Table16[[#This Row],[Type]]="Co-product", "No", "")</f>
        <v/>
      </c>
      <c r="J15" s="25"/>
      <c r="K15" s="6"/>
      <c r="L15" s="6" t="str">
        <f>IF(Table16[[#This Row],[Category]]="Transportation", _xlfn.XLOOKUP(Table16[[#This Row],[Resource]], 'SI - Payload'!$A$10:$A$38,'SI - Payload'!$B$10:$B$38,"",0), "")</f>
        <v/>
      </c>
      <c r="M15" s="6" t="str">
        <f>IF(Table16[[#This Row],[Category]]="Transportation", "ton", "")</f>
        <v/>
      </c>
      <c r="N15" s="6"/>
      <c r="O15" s="6"/>
      <c r="P15" s="6" t="s">
        <v>2</v>
      </c>
      <c r="Q15" s="6" t="s">
        <v>83</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IF(Table16[[#This Row],[Type]]="Co-product", "No", "")</f>
        <v/>
      </c>
      <c r="J16" s="25"/>
      <c r="K16" s="6"/>
      <c r="L16" s="6" t="str">
        <f>IF(Table16[[#This Row],[Category]]="Transportation", _xlfn.XLOOKUP(Table16[[#This Row],[Resource]], 'SI - Payload'!$A$10:$A$38,'SI - Payload'!$B$10:$B$38,"",0), "")</f>
        <v/>
      </c>
      <c r="M16" s="6" t="str">
        <f>IF(Table16[[#This Row],[Category]]="Transportation", "ton", "")</f>
        <v/>
      </c>
      <c r="N16" s="6"/>
      <c r="O16" s="6"/>
      <c r="P16" s="6" t="str">
        <f>IF(OR(Table16[[#This Row],[Type]]="Main Product", Table16[[#This Row],[Type]]="Co-Product"), Table16[[#This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IF(Table16[[#This Row],[Type]]="Co-product", "No", "")</f>
        <v/>
      </c>
      <c r="J17" s="25"/>
      <c r="K17" s="6"/>
      <c r="L17" s="6" t="str">
        <f>IF(Table16[[#This Row],[Category]]="Transportation", _xlfn.XLOOKUP(Table16[[#This Row],[Resource]], 'SI - Payload'!$A$10:$A$38,'SI - Payload'!$B$10:$B$38,"",0), "")</f>
        <v/>
      </c>
      <c r="M17" s="6" t="str">
        <f>IF(Table16[[#This Row],[Category]]="Transportation", "ton", "")</f>
        <v/>
      </c>
      <c r="N17" s="6"/>
      <c r="O17" s="6"/>
      <c r="P17" s="6" t="str">
        <f>IF(OR(Table16[[#This Row],[Type]]="Main Product", Table16[[#This Row],[Type]]="Co-Product"), Table16[[#This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IF(Table16[[#This Row],[Type]]="Co-product", "No", "")</f>
        <v/>
      </c>
      <c r="J18" s="25"/>
      <c r="K18" s="6"/>
      <c r="L18" s="6" t="str">
        <f>IF(Table16[[#This Row],[Category]]="Transportation", _xlfn.XLOOKUP(Table16[[#This Row],[Resource]], 'SI - Payload'!$A$10:$A$38,'SI - Payload'!$B$10:$B$38,"",0), "")</f>
        <v/>
      </c>
      <c r="M18" s="6" t="str">
        <f>IF(Table16[[#This Row],[Category]]="Transportation", "ton", "")</f>
        <v/>
      </c>
      <c r="N18" s="6"/>
      <c r="O18" s="6"/>
      <c r="P18" s="6" t="str">
        <f>IF(OR(Table16[[#This Row],[Type]]="Main Product", Table16[[#This Row],[Type]]="Co-Product"), Table16[[#This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IF(Table16[[#This Row],[Type]]="Co-product", "No", "")</f>
        <v/>
      </c>
      <c r="J19" s="25"/>
      <c r="K19" s="6"/>
      <c r="L19" s="6" t="str">
        <f>IF(Table16[[#This Row],[Category]]="Transportation", _xlfn.XLOOKUP(Table16[[#This Row],[Resource]], 'SI - Payload'!$A$10:$A$38,'SI - Payload'!$B$10:$B$38,"",0), "")</f>
        <v/>
      </c>
      <c r="M19" s="6" t="str">
        <f>IF(Table16[[#This Row],[Category]]="Transportation", "ton", "")</f>
        <v/>
      </c>
      <c r="N19" s="6"/>
      <c r="O19" s="6"/>
      <c r="P19" s="6" t="str">
        <f>IF(OR(Table16[[#This Row],[Type]]="Main Product", Table16[[#This Row],[Type]]="Co-Product"), Table16[[#This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IF(Table16[[#This Row],[Type]]="Co-product", "No", "")</f>
        <v/>
      </c>
      <c r="J20" s="25"/>
      <c r="K20" s="6"/>
      <c r="L20" s="6" t="str">
        <f>IF(Table16[[#This Row],[Category]]="Transportation", _xlfn.XLOOKUP(Table16[[#This Row],[Resource]], 'SI - Payload'!$A$10:$A$38,'SI - Payload'!$B$10:$B$38,"",0), "")</f>
        <v/>
      </c>
      <c r="M20" s="6" t="str">
        <f>IF(Table16[[#This Row],[Category]]="Transportation", "ton", "")</f>
        <v/>
      </c>
      <c r="N20" s="6"/>
      <c r="O20" s="6"/>
      <c r="P20" s="6" t="str">
        <f>IF(OR(Table16[[#This Row],[Type]]="Main Product", Table16[[#This Row],[Type]]="Co-Product"), Table16[[#This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IF(Table16[[#This Row],[Type]]="Co-product", "No", "")</f>
        <v/>
      </c>
      <c r="J21" s="25"/>
      <c r="K21" s="6"/>
      <c r="L21" s="6" t="str">
        <f>IF(Table16[[#This Row],[Category]]="Transportation", _xlfn.XLOOKUP(Table16[[#This Row],[Resource]], 'SI - Payload'!$A$10:$A$38,'SI - Payload'!$B$10:$B$38,"",0), "")</f>
        <v/>
      </c>
      <c r="M21" s="6" t="str">
        <f>IF(Table16[[#This Row],[Category]]="Transportation", "ton", "")</f>
        <v/>
      </c>
      <c r="N21" s="6"/>
      <c r="O21" s="6"/>
      <c r="P21" s="6" t="str">
        <f>IF(OR(Table16[[#This Row],[Type]]="Main Product", Table16[[#This Row],[Type]]="Co-Product"), Table16[[#This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IF(Table16[[#This Row],[Type]]="Co-product", "No", "")</f>
        <v/>
      </c>
      <c r="J22" s="25"/>
      <c r="K22" s="6"/>
      <c r="L22" s="6" t="str">
        <f>IF(Table16[[#This Row],[Category]]="Transportation", _xlfn.XLOOKUP(Table16[[#This Row],[Resource]], 'SI - Payload'!$A$10:$A$38,'SI - Payload'!$B$10:$B$38,"",0), "")</f>
        <v/>
      </c>
      <c r="M22" s="6" t="str">
        <f>IF(Table16[[#This Row],[Category]]="Transportation", "ton", "")</f>
        <v/>
      </c>
      <c r="N22" s="6"/>
      <c r="O22" s="6"/>
      <c r="P22" s="6" t="str">
        <f>IF(OR(Table16[[#This Row],[Type]]="Main Product", Table16[[#This Row],[Type]]="Co-Product"), Table16[[#This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IF(Table16[[#This Row],[Type]]="Co-product", "No", "")</f>
        <v/>
      </c>
      <c r="J23" s="25"/>
      <c r="K23" s="6"/>
      <c r="L23" s="6" t="str">
        <f>IF(Table16[[#This Row],[Category]]="Transportation", _xlfn.XLOOKUP(Table16[[#This Row],[Resource]], 'SI - Payload'!$A$10:$A$38,'SI - Payload'!$B$10:$B$38,"",0), "")</f>
        <v/>
      </c>
      <c r="M23" s="6" t="str">
        <f>IF(Table16[[#This Row],[Category]]="Transportation", "ton", "")</f>
        <v/>
      </c>
      <c r="N23" s="6"/>
      <c r="O23" s="6"/>
      <c r="P23" s="6" t="str">
        <f>IF(OR(Table16[[#This Row],[Type]]="Main Product", Table16[[#This Row],[Type]]="Co-Product"), Table16[[#This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IF(Table16[[#This Row],[Type]]="Co-product", "No", "")</f>
        <v/>
      </c>
      <c r="J24" s="25"/>
      <c r="K24" s="6"/>
      <c r="L24" s="6" t="str">
        <f>IF(Table16[[#This Row],[Category]]="Transportation", _xlfn.XLOOKUP(Table16[[#This Row],[Resource]], 'SI - Payload'!$A$10:$A$38,'SI - Payload'!$B$10:$B$38,"",0), "")</f>
        <v/>
      </c>
      <c r="M24" s="6" t="str">
        <f>IF(Table16[[#This Row],[Category]]="Transportation", "ton", "")</f>
        <v/>
      </c>
      <c r="N24" s="6"/>
      <c r="O24" s="6"/>
      <c r="P24" s="6" t="str">
        <f>IF(OR(Table16[[#This Row],[Type]]="Main Product", Table16[[#This Row],[Type]]="Co-Product"), Table16[[#This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IF(Table16[[#This Row],[Type]]="Co-product", "No", "")</f>
        <v/>
      </c>
      <c r="J25" s="25"/>
      <c r="K25" s="6"/>
      <c r="L25" s="6" t="str">
        <f>IF(Table16[[#This Row],[Category]]="Transportation", _xlfn.XLOOKUP(Table16[[#This Row],[Resource]], 'SI - Payload'!$A$10:$A$38,'SI - Payload'!$B$10:$B$38,"",0), "")</f>
        <v/>
      </c>
      <c r="M25" s="6" t="str">
        <f>IF(Table16[[#This Row],[Category]]="Transportation", "ton", "")</f>
        <v/>
      </c>
      <c r="N25" s="6"/>
      <c r="O25" s="6"/>
      <c r="P25" s="6" t="str">
        <f>IF(OR(Table16[[#This Row],[Type]]="Main Product", Table16[[#This Row],[Type]]="Co-Product"), Table16[[#This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IF(Table16[[#This Row],[Type]]="Co-product", "No", "")</f>
        <v/>
      </c>
      <c r="J26" s="25"/>
      <c r="K26" s="6"/>
      <c r="L26" s="6" t="str">
        <f>IF(Table16[[#This Row],[Category]]="Transportation", _xlfn.XLOOKUP(Table16[[#This Row],[Resource]], 'SI - Payload'!$A$10:$A$38,'SI - Payload'!$B$10:$B$38,"",0), "")</f>
        <v/>
      </c>
      <c r="M26" s="6" t="str">
        <f>IF(Table16[[#This Row],[Category]]="Transportation", "ton", "")</f>
        <v/>
      </c>
      <c r="N26" s="6"/>
      <c r="O26" s="6"/>
      <c r="P26" s="6" t="str">
        <f>IF(OR(Table16[[#This Row],[Type]]="Main Product", Table16[[#This Row],[Type]]="Co-Product"), Table16[[#This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IF(Table16[[#This Row],[Type]]="Co-product", "No", "")</f>
        <v/>
      </c>
      <c r="J27" s="25"/>
      <c r="K27" s="6"/>
      <c r="L27" s="6" t="str">
        <f>IF(Table16[[#This Row],[Category]]="Transportation", _xlfn.XLOOKUP(Table16[[#This Row],[Resource]], 'SI - Payload'!$A$10:$A$38,'SI - Payload'!$B$10:$B$38,"",0), "")</f>
        <v/>
      </c>
      <c r="M27" s="6" t="str">
        <f>IF(Table16[[#This Row],[Category]]="Transportation", "ton", "")</f>
        <v/>
      </c>
      <c r="N27" s="6"/>
      <c r="O27" s="6"/>
      <c r="P27" s="6" t="str">
        <f>IF(OR(Table16[[#This Row],[Type]]="Main Product", Table16[[#This Row],[Type]]="Co-Product"), Table16[[#This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IF(Table16[[#This Row],[Type]]="Co-product", "No", "")</f>
        <v/>
      </c>
      <c r="J28" s="25"/>
      <c r="K28" s="6"/>
      <c r="L28" s="6" t="str">
        <f>IF(Table16[[#This Row],[Category]]="Transportation", _xlfn.XLOOKUP(Table16[[#This Row],[Resource]], 'SI - Payload'!$A$10:$A$38,'SI - Payload'!$B$10:$B$38,"",0), "")</f>
        <v/>
      </c>
      <c r="M28" s="6" t="str">
        <f>IF(Table16[[#This Row],[Category]]="Transportation", "ton", "")</f>
        <v/>
      </c>
      <c r="N28" s="6"/>
      <c r="O28" s="6"/>
      <c r="P28" s="6" t="str">
        <f>IF(OR(Table16[[#This Row],[Type]]="Main Product", Table16[[#This Row],[Type]]="Co-Product"), Table16[[#This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IF(Table16[[#This Row],[Type]]="Co-product", "No", "")</f>
        <v/>
      </c>
      <c r="J29" s="25"/>
      <c r="K29" s="6"/>
      <c r="L29" s="6" t="str">
        <f>IF(Table16[[#This Row],[Category]]="Transportation", _xlfn.XLOOKUP(Table16[[#This Row],[Resource]], 'SI - Payload'!$A$10:$A$38,'SI - Payload'!$B$10:$B$38,"",0), "")</f>
        <v/>
      </c>
      <c r="M29" s="6" t="str">
        <f>IF(Table16[[#This Row],[Category]]="Transportation", "ton", "")</f>
        <v/>
      </c>
      <c r="N29" s="6"/>
      <c r="O29" s="6"/>
      <c r="P29" s="6" t="str">
        <f>IF(OR(Table16[[#This Row],[Type]]="Main Product", Table16[[#This Row],[Type]]="Co-Product"), Table16[[#This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IF(Table16[[#This Row],[Type]]="Co-product", "No", "")</f>
        <v/>
      </c>
      <c r="J30" s="25"/>
      <c r="K30" s="6"/>
      <c r="L30" s="6" t="str">
        <f>IF(Table16[[#This Row],[Category]]="Transportation", _xlfn.XLOOKUP(Table16[[#This Row],[Resource]], 'SI - Payload'!$A$10:$A$38,'SI - Payload'!$B$10:$B$38,"",0), "")</f>
        <v/>
      </c>
      <c r="M30" s="6" t="str">
        <f>IF(Table16[[#This Row],[Category]]="Transportation", "ton", "")</f>
        <v/>
      </c>
      <c r="N30" s="6"/>
      <c r="O30" s="6"/>
      <c r="P30" s="6" t="str">
        <f>IF(OR(Table16[[#This Row],[Type]]="Main Product", Table16[[#This Row],[Type]]="Co-Product"), Table16[[#This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IF(Table16[[#This Row],[Type]]="Co-product", "No", "")</f>
        <v/>
      </c>
      <c r="J31" s="25"/>
      <c r="K31" s="6"/>
      <c r="L31" s="6" t="str">
        <f>IF(Table16[[#This Row],[Category]]="Transportation", _xlfn.XLOOKUP(Table16[[#This Row],[Resource]], 'SI - Payload'!$A$10:$A$38,'SI - Payload'!$B$10:$B$38,"",0), "")</f>
        <v/>
      </c>
      <c r="M31" s="6" t="str">
        <f>IF(Table16[[#This Row],[Category]]="Transportation", "ton", "")</f>
        <v/>
      </c>
      <c r="N31" s="6"/>
      <c r="O31" s="6"/>
      <c r="P31" s="6" t="str">
        <f>IF(OR(Table16[[#This Row],[Type]]="Main Product", Table16[[#This Row],[Type]]="Co-Product"), Table16[[#This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IF(Table16[[#This Row],[Type]]="Co-product", "No", "")</f>
        <v/>
      </c>
      <c r="J32" s="25"/>
      <c r="K32" s="6"/>
      <c r="L32" s="6" t="str">
        <f>IF(Table16[[#This Row],[Category]]="Transportation", _xlfn.XLOOKUP(Table16[[#This Row],[Resource]], 'SI - Payload'!$A$10:$A$38,'SI - Payload'!$B$10:$B$38,"",0), "")</f>
        <v/>
      </c>
      <c r="M32" s="6" t="str">
        <f>IF(Table16[[#This Row],[Category]]="Transportation", "ton", "")</f>
        <v/>
      </c>
      <c r="N32" s="6"/>
      <c r="O32" s="6"/>
      <c r="P32" s="6" t="str">
        <f>IF(OR(Table16[[#This Row],[Type]]="Main Product", Table16[[#This Row],[Type]]="Co-Product"), Table16[[#This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IF(Table16[[#This Row],[Type]]="Co-product", "No", "")</f>
        <v/>
      </c>
      <c r="J33" s="25"/>
      <c r="K33" s="6"/>
      <c r="L33" s="6" t="str">
        <f>IF(Table16[[#This Row],[Category]]="Transportation", _xlfn.XLOOKUP(Table16[[#This Row],[Resource]], 'SI - Payload'!$A$10:$A$38,'SI - Payload'!$B$10:$B$38,"",0), "")</f>
        <v/>
      </c>
      <c r="M33" s="6" t="str">
        <f>IF(Table16[[#This Row],[Category]]="Transportation", "ton", "")</f>
        <v/>
      </c>
      <c r="N33" s="6"/>
      <c r="O33" s="6"/>
      <c r="P33" s="6" t="str">
        <f>IF(OR(Table16[[#This Row],[Type]]="Main Product", Table16[[#This Row],[Type]]="Co-Product"), Table16[[#This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IF(Table16[[#This Row],[Type]]="Co-product", "No", "")</f>
        <v/>
      </c>
      <c r="J34" s="25"/>
      <c r="K34" s="6"/>
      <c r="L34" s="6" t="str">
        <f>IF(Table16[[#This Row],[Category]]="Transportation", _xlfn.XLOOKUP(Table16[[#This Row],[Resource]], 'SI - Payload'!$A$10:$A$38,'SI - Payload'!$B$10:$B$38,"",0), "")</f>
        <v/>
      </c>
      <c r="M34" s="6" t="str">
        <f>IF(Table16[[#This Row],[Category]]="Transportation", "ton", "")</f>
        <v/>
      </c>
      <c r="N34" s="6"/>
      <c r="O34" s="6"/>
      <c r="P34" s="6" t="str">
        <f>IF(OR(Table16[[#This Row],[Type]]="Main Product", Table16[[#This Row],[Type]]="Co-Product"), Table16[[#This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IF(Table16[[#This Row],[Type]]="Co-product", "No", "")</f>
        <v/>
      </c>
      <c r="J35" s="25"/>
      <c r="K35" s="6"/>
      <c r="L35" s="6" t="str">
        <f>IF(Table16[[#This Row],[Category]]="Transportation", _xlfn.XLOOKUP(Table16[[#This Row],[Resource]], 'SI - Payload'!$A$10:$A$38,'SI - Payload'!$B$10:$B$38,"",0), "")</f>
        <v/>
      </c>
      <c r="M35" s="6" t="str">
        <f>IF(Table16[[#This Row],[Category]]="Transportation", "ton", "")</f>
        <v/>
      </c>
      <c r="N35" s="6"/>
      <c r="O35" s="6"/>
      <c r="P35" s="6" t="str">
        <f>IF(OR(Table16[[#This Row],[Type]]="Main Product", Table16[[#This Row],[Type]]="Co-Product"), Table16[[#This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IF(Table16[[#This Row],[Type]]="Co-product", "No", "")</f>
        <v/>
      </c>
      <c r="J36" s="25"/>
      <c r="K36" s="6"/>
      <c r="L36" s="6" t="str">
        <f>IF(Table16[[#This Row],[Category]]="Transportation", _xlfn.XLOOKUP(Table16[[#This Row],[Resource]], 'SI - Payload'!$A$10:$A$38,'SI - Payload'!$B$10:$B$38,"",0), "")</f>
        <v/>
      </c>
      <c r="M36" s="6" t="str">
        <f>IF(Table16[[#This Row],[Category]]="Transportation", "ton", "")</f>
        <v/>
      </c>
      <c r="N36" s="6"/>
      <c r="O36" s="6"/>
      <c r="P36" s="6" t="str">
        <f>IF(OR(Table16[[#This Row],[Type]]="Main Product", Table16[[#This Row],[Type]]="Co-Product"), Table16[[#This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IF(Table16[[#This Row],[Type]]="Co-product", "No", "")</f>
        <v/>
      </c>
      <c r="J37" s="25"/>
      <c r="K37" s="6"/>
      <c r="L37" s="6" t="str">
        <f>IF(Table16[[#This Row],[Category]]="Transportation", _xlfn.XLOOKUP(Table16[[#This Row],[Resource]], 'SI - Payload'!$A$10:$A$38,'SI - Payload'!$B$10:$B$38,"",0), "")</f>
        <v/>
      </c>
      <c r="M37" s="6" t="str">
        <f>IF(Table16[[#This Row],[Category]]="Transportation", "ton", "")</f>
        <v/>
      </c>
      <c r="N37" s="6"/>
      <c r="O37" s="6"/>
      <c r="P37" s="6" t="str">
        <f>IF(OR(Table16[[#This Row],[Type]]="Main Product", Table16[[#This Row],[Type]]="Co-Product"), Table16[[#This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IF(Table16[[#This Row],[Type]]="Co-product", "No", "")</f>
        <v/>
      </c>
      <c r="J38" s="25"/>
      <c r="K38" s="6"/>
      <c r="L38" s="6" t="str">
        <f>IF(Table16[[#This Row],[Category]]="Transportation", _xlfn.XLOOKUP(Table16[[#This Row],[Resource]], 'SI - Payload'!$A$10:$A$38,'SI - Payload'!$B$10:$B$38,"",0), "")</f>
        <v/>
      </c>
      <c r="M38" s="6" t="str">
        <f>IF(Table16[[#This Row],[Category]]="Transportation", "ton", "")</f>
        <v/>
      </c>
      <c r="N38" s="6"/>
      <c r="O38" s="6"/>
      <c r="P38" s="6" t="str">
        <f>IF(OR(Table16[[#This Row],[Type]]="Main Product", Table16[[#This Row],[Type]]="Co-Product"), Table16[[#This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IF(Table16[[#This Row],[Type]]="Co-product", "No", "")</f>
        <v/>
      </c>
      <c r="J39" s="25"/>
      <c r="K39" s="6"/>
      <c r="L39" s="6" t="str">
        <f>IF(Table16[[#This Row],[Category]]="Transportation", _xlfn.XLOOKUP(Table16[[#This Row],[Resource]], 'SI - Payload'!$A$10:$A$38,'SI - Payload'!$B$10:$B$38,"",0), "")</f>
        <v/>
      </c>
      <c r="M39" s="6" t="str">
        <f>IF(Table16[[#This Row],[Category]]="Transportation", "ton", "")</f>
        <v/>
      </c>
      <c r="N39" s="6"/>
      <c r="O39" s="6"/>
      <c r="P39" s="6" t="str">
        <f>IF(OR(Table16[[#This Row],[Type]]="Main Product", Table16[[#This Row],[Type]]="Co-Product"), Table16[[#This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IF(Table16[[#This Row],[Type]]="Co-product", "No", "")</f>
        <v/>
      </c>
      <c r="J40" s="25"/>
      <c r="K40" s="6"/>
      <c r="L40" s="6" t="str">
        <f>IF(Table16[[#This Row],[Category]]="Transportation", _xlfn.XLOOKUP(Table16[[#This Row],[Resource]], 'SI - Payload'!$A$10:$A$38,'SI - Payload'!$B$10:$B$38,"",0), "")</f>
        <v/>
      </c>
      <c r="M40" s="6" t="str">
        <f>IF(Table16[[#This Row],[Category]]="Transportation", "ton", "")</f>
        <v/>
      </c>
      <c r="N40" s="6"/>
      <c r="O40" s="6"/>
      <c r="P40" s="6" t="str">
        <f>IF(OR(Table16[[#This Row],[Type]]="Main Product", Table16[[#This Row],[Type]]="Co-Product"), Table16[[#This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IF(Table16[[#This Row],[Type]]="Co-product", "No", "")</f>
        <v/>
      </c>
      <c r="J41" s="25"/>
      <c r="K41" s="6"/>
      <c r="L41" s="6" t="str">
        <f>IF(Table16[[#This Row],[Category]]="Transportation", _xlfn.XLOOKUP(Table16[[#This Row],[Resource]], 'SI - Payload'!$A$10:$A$38,'SI - Payload'!$B$10:$B$38,"",0), "")</f>
        <v/>
      </c>
      <c r="M41" s="6" t="str">
        <f>IF(Table16[[#This Row],[Category]]="Transportation", "ton", "")</f>
        <v/>
      </c>
      <c r="N41" s="6"/>
      <c r="O41" s="6"/>
      <c r="P41" s="6" t="str">
        <f>IF(OR(Table16[[#This Row],[Type]]="Main Product", Table16[[#This Row],[Type]]="Co-Product"), Table16[[#This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IF(Table16[[#This Row],[Type]]="Co-product", "No", "")</f>
        <v/>
      </c>
      <c r="J42" s="25"/>
      <c r="K42" s="6"/>
      <c r="L42" s="6" t="str">
        <f>IF(Table16[[#This Row],[Category]]="Transportation", _xlfn.XLOOKUP(Table16[[#This Row],[Resource]], 'SI - Payload'!$A$10:$A$38,'SI - Payload'!$B$10:$B$38,"",0), "")</f>
        <v/>
      </c>
      <c r="M42" s="6" t="str">
        <f>IF(Table16[[#This Row],[Category]]="Transportation", "ton", "")</f>
        <v/>
      </c>
      <c r="N42" s="6"/>
      <c r="O42" s="6"/>
      <c r="P42" s="6" t="str">
        <f>IF(OR(Table16[[#This Row],[Type]]="Main Product", Table16[[#This Row],[Type]]="Co-Product"), Table16[[#This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IF(Table16[[#This Row],[Type]]="Co-product", "No", "")</f>
        <v/>
      </c>
      <c r="J43" s="25"/>
      <c r="K43" s="6"/>
      <c r="L43" s="6" t="str">
        <f>IF(Table16[[#This Row],[Category]]="Transportation", _xlfn.XLOOKUP(Table16[[#This Row],[Resource]], 'SI - Payload'!$A$10:$A$38,'SI - Payload'!$B$10:$B$38,"",0), "")</f>
        <v/>
      </c>
      <c r="M43" s="6" t="str">
        <f>IF(Table16[[#This Row],[Category]]="Transportation", "ton", "")</f>
        <v/>
      </c>
      <c r="N43" s="6"/>
      <c r="O43" s="6"/>
      <c r="P43" s="6" t="str">
        <f>IF(OR(Table16[[#This Row],[Type]]="Main Product", Table16[[#This Row],[Type]]="Co-Product"), Table16[[#This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IF(Table16[[#This Row],[Type]]="Co-product", "No", "")</f>
        <v/>
      </c>
      <c r="J44" s="25"/>
      <c r="K44" s="6"/>
      <c r="L44" s="6" t="str">
        <f>IF(Table16[[#This Row],[Category]]="Transportation", _xlfn.XLOOKUP(Table16[[#This Row],[Resource]], 'SI - Payload'!$A$10:$A$38,'SI - Payload'!$B$10:$B$38,"",0), "")</f>
        <v/>
      </c>
      <c r="M44" s="6" t="str">
        <f>IF(Table16[[#This Row],[Category]]="Transportation", "ton", "")</f>
        <v/>
      </c>
      <c r="N44" s="6"/>
      <c r="O44" s="6"/>
      <c r="P44" s="6" t="str">
        <f>IF(OR(Table16[[#This Row],[Type]]="Main Product", Table16[[#This Row],[Type]]="Co-Product"), Table16[[#This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IF(Table16[[#This Row],[Type]]="Co-product", "No", "")</f>
        <v/>
      </c>
      <c r="J45" s="25"/>
      <c r="K45" s="6"/>
      <c r="L45" s="6" t="str">
        <f>IF(Table16[[#This Row],[Category]]="Transportation", _xlfn.XLOOKUP(Table16[[#This Row],[Resource]], 'SI - Payload'!$A$10:$A$38,'SI - Payload'!$B$10:$B$38,"",0), "")</f>
        <v/>
      </c>
      <c r="M45" s="6" t="str">
        <f>IF(Table16[[#This Row],[Category]]="Transportation", "ton", "")</f>
        <v/>
      </c>
      <c r="N45" s="6"/>
      <c r="O45" s="6"/>
      <c r="P45" s="6" t="str">
        <f>IF(OR(Table16[[#This Row],[Type]]="Main Product", Table16[[#This Row],[Type]]="Co-Product"), Table16[[#This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IF(Table16[[#This Row],[Type]]="Co-product", "No", "")</f>
        <v/>
      </c>
      <c r="J46" s="25"/>
      <c r="K46" s="6"/>
      <c r="L46" s="6" t="str">
        <f>IF(Table16[[#This Row],[Category]]="Transportation", _xlfn.XLOOKUP(Table16[[#This Row],[Resource]], 'SI - Payload'!$A$10:$A$38,'SI - Payload'!$B$10:$B$38,"",0), "")</f>
        <v/>
      </c>
      <c r="M46" s="6" t="str">
        <f>IF(Table16[[#This Row],[Category]]="Transportation", "ton", "")</f>
        <v/>
      </c>
      <c r="N46" s="6"/>
      <c r="O46" s="6"/>
      <c r="P46" s="6" t="str">
        <f>IF(OR(Table16[[#This Row],[Type]]="Main Product", Table16[[#This Row],[Type]]="Co-Product"), Table16[[#This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IF(Table16[[#This Row],[Type]]="Co-product", "No", "")</f>
        <v/>
      </c>
      <c r="J47" s="25"/>
      <c r="K47" s="6"/>
      <c r="L47" s="6" t="str">
        <f>IF(Table16[[#This Row],[Category]]="Transportation", _xlfn.XLOOKUP(Table16[[#This Row],[Resource]], 'SI - Payload'!$A$10:$A$38,'SI - Payload'!$B$10:$B$38,"",0), "")</f>
        <v/>
      </c>
      <c r="M47" s="6" t="str">
        <f>IF(Table16[[#This Row],[Category]]="Transportation", "ton", "")</f>
        <v/>
      </c>
      <c r="N47" s="6"/>
      <c r="O47" s="6"/>
      <c r="P47" s="6" t="str">
        <f>IF(OR(Table16[[#This Row],[Type]]="Main Product", Table16[[#This Row],[Type]]="Co-Product"), Table16[[#This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IF(Table16[[#This Row],[Type]]="Co-product", "No", "")</f>
        <v/>
      </c>
      <c r="J48" s="25"/>
      <c r="K48" s="6"/>
      <c r="L48" s="6" t="str">
        <f>IF(Table16[[#This Row],[Category]]="Transportation", _xlfn.XLOOKUP(Table16[[#This Row],[Resource]], 'SI - Payload'!$A$10:$A$38,'SI - Payload'!$B$10:$B$38,"",0), "")</f>
        <v/>
      </c>
      <c r="M48" s="6" t="str">
        <f>IF(Table16[[#This Row],[Category]]="Transportation", "ton", "")</f>
        <v/>
      </c>
      <c r="N48" s="6"/>
      <c r="O48" s="6"/>
      <c r="P48" s="6" t="str">
        <f>IF(OR(Table16[[#This Row],[Type]]="Main Product", Table16[[#This Row],[Type]]="Co-Product"), Table16[[#This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IF(Table16[[#This Row],[Type]]="Co-product", "No", "")</f>
        <v/>
      </c>
      <c r="J49" s="25"/>
      <c r="K49" s="6"/>
      <c r="L49" s="6" t="str">
        <f>IF(Table16[[#This Row],[Category]]="Transportation", _xlfn.XLOOKUP(Table16[[#This Row],[Resource]], 'SI - Payload'!$A$10:$A$38,'SI - Payload'!$B$10:$B$38,"",0), "")</f>
        <v/>
      </c>
      <c r="M49" s="6" t="str">
        <f>IF(Table16[[#This Row],[Category]]="Transportation", "ton", "")</f>
        <v/>
      </c>
      <c r="N49" s="6"/>
      <c r="O49" s="6"/>
      <c r="P49" s="6" t="str">
        <f>IF(OR(Table16[[#This Row],[Type]]="Main Product", Table16[[#This Row],[Type]]="Co-Product"), Table16[[#This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IF(Table16[[#This Row],[Type]]="Co-product", "No", "")</f>
        <v/>
      </c>
      <c r="J50" s="25"/>
      <c r="K50" s="6"/>
      <c r="L50" s="6" t="str">
        <f>IF(Table16[[#This Row],[Category]]="Transportation", _xlfn.XLOOKUP(Table16[[#This Row],[Resource]], 'SI - Payload'!$A$10:$A$38,'SI - Payload'!$B$10:$B$38,"",0), "")</f>
        <v/>
      </c>
      <c r="M50" s="6" t="str">
        <f>IF(Table16[[#This Row],[Category]]="Transportation", "ton", "")</f>
        <v/>
      </c>
      <c r="N50" s="6"/>
      <c r="O50" s="6"/>
      <c r="P50" s="6" t="str">
        <f>IF(OR(Table16[[#This Row],[Type]]="Main Product", Table16[[#This Row],[Type]]="Co-Product"), Table16[[#This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IF(Table16[[#This Row],[Type]]="Co-product", "No", "")</f>
        <v/>
      </c>
      <c r="J51" s="25"/>
      <c r="K51" s="6"/>
      <c r="L51" s="6" t="str">
        <f>IF(Table16[[#This Row],[Category]]="Transportation", _xlfn.XLOOKUP(Table16[[#This Row],[Resource]], 'SI - Payload'!$A$10:$A$38,'SI - Payload'!$B$10:$B$38,"",0), "")</f>
        <v/>
      </c>
      <c r="M51" s="6" t="str">
        <f>IF(Table16[[#This Row],[Category]]="Transportation", "ton", "")</f>
        <v/>
      </c>
      <c r="N51" s="6"/>
      <c r="O51" s="6"/>
      <c r="P51" s="6" t="str">
        <f>IF(OR(Table16[[#This Row],[Type]]="Main Product", Table16[[#This Row],[Type]]="Co-Product"), Table16[[#This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IF(Table16[[#This Row],[Type]]="Co-product", "No", "")</f>
        <v/>
      </c>
      <c r="J52" s="25"/>
      <c r="K52" s="6"/>
      <c r="L52" s="6" t="str">
        <f>IF(Table16[[#This Row],[Category]]="Transportation", _xlfn.XLOOKUP(Table16[[#This Row],[Resource]], 'SI - Payload'!$A$10:$A$38,'SI - Payload'!$B$10:$B$38,"",0), "")</f>
        <v/>
      </c>
      <c r="M52" s="6" t="str">
        <f>IF(Table16[[#This Row],[Category]]="Transportation", "ton", "")</f>
        <v/>
      </c>
      <c r="N52" s="6"/>
      <c r="O52" s="6"/>
      <c r="P52" s="6" t="str">
        <f>IF(OR(Table16[[#This Row],[Type]]="Main Product", Table16[[#This Row],[Type]]="Co-Product"), Table16[[#This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IF(Table16[[#This Row],[Type]]="Co-product", "No", "")</f>
        <v/>
      </c>
      <c r="J53" s="25"/>
      <c r="K53" s="6"/>
      <c r="L53" s="6" t="str">
        <f>IF(Table16[[#This Row],[Category]]="Transportation", _xlfn.XLOOKUP(Table16[[#This Row],[Resource]], 'SI - Payload'!$A$10:$A$38,'SI - Payload'!$B$10:$B$38,"",0), "")</f>
        <v/>
      </c>
      <c r="M53" s="6" t="str">
        <f>IF(Table16[[#This Row],[Category]]="Transportation", "ton", "")</f>
        <v/>
      </c>
      <c r="N53" s="6"/>
      <c r="O53" s="6"/>
      <c r="P53" s="6" t="str">
        <f>IF(OR(Table16[[#This Row],[Type]]="Main Product", Table16[[#This Row],[Type]]="Co-Product"), Table16[[#This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IF(Table16[[#This Row],[Type]]="Co-product", "No", "")</f>
        <v/>
      </c>
      <c r="J54" s="25"/>
      <c r="K54" s="6"/>
      <c r="L54" s="6" t="str">
        <f>IF(Table16[[#This Row],[Category]]="Transportation", _xlfn.XLOOKUP(Table16[[#This Row],[Resource]], 'SI - Payload'!$A$10:$A$38,'SI - Payload'!$B$10:$B$38,"",0), "")</f>
        <v/>
      </c>
      <c r="M54" s="6" t="str">
        <f>IF(Table16[[#This Row],[Category]]="Transportation", "ton", "")</f>
        <v/>
      </c>
      <c r="N54" s="6"/>
      <c r="O54" s="6"/>
      <c r="P54" s="6" t="str">
        <f>IF(OR(Table16[[#This Row],[Type]]="Main Product", Table16[[#This Row],[Type]]="Co-Product"), Table16[[#This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IF(Table16[[#This Row],[Type]]="Co-product", "No", "")</f>
        <v/>
      </c>
      <c r="J55" s="25"/>
      <c r="K55" s="6"/>
      <c r="L55" s="6" t="str">
        <f>IF(Table16[[#This Row],[Category]]="Transportation", _xlfn.XLOOKUP(Table16[[#This Row],[Resource]], 'SI - Payload'!$A$10:$A$38,'SI - Payload'!$B$10:$B$38,"",0), "")</f>
        <v/>
      </c>
      <c r="M55" s="6" t="str">
        <f>IF(Table16[[#This Row],[Category]]="Transportation", "ton", "")</f>
        <v/>
      </c>
      <c r="N55" s="6"/>
      <c r="O55" s="6"/>
      <c r="P55" s="6" t="str">
        <f>IF(OR(Table16[[#This Row],[Type]]="Main Product", Table16[[#This Row],[Type]]="Co-Product"), Table16[[#This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IF(Table16[[#This Row],[Type]]="Co-product", "No", "")</f>
        <v/>
      </c>
      <c r="J56" s="25"/>
      <c r="K56" s="6"/>
      <c r="L56" s="6" t="str">
        <f>IF(Table16[[#This Row],[Category]]="Transportation", _xlfn.XLOOKUP(Table16[[#This Row],[Resource]], 'SI - Payload'!$A$10:$A$38,'SI - Payload'!$B$10:$B$38,"",0), "")</f>
        <v/>
      </c>
      <c r="M56" s="6" t="str">
        <f>IF(Table16[[#This Row],[Category]]="Transportation", "ton", "")</f>
        <v/>
      </c>
      <c r="N56" s="6"/>
      <c r="O56" s="6"/>
      <c r="P56" s="6" t="str">
        <f>IF(OR(Table16[[#This Row],[Type]]="Main Product", Table16[[#This Row],[Type]]="Co-Product"), Table16[[#This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IF(Table16[[#This Row],[Type]]="Co-product", "No", "")</f>
        <v/>
      </c>
      <c r="J57" s="25"/>
      <c r="K57" s="6"/>
      <c r="L57" s="6" t="str">
        <f>IF(Table16[[#This Row],[Category]]="Transportation", _xlfn.XLOOKUP(Table16[[#This Row],[Resource]], 'SI - Payload'!$A$10:$A$38,'SI - Payload'!$B$10:$B$38,"",0), "")</f>
        <v/>
      </c>
      <c r="M57" s="6" t="str">
        <f>IF(Table16[[#This Row],[Category]]="Transportation", "ton", "")</f>
        <v/>
      </c>
      <c r="N57" s="6"/>
      <c r="O57" s="6"/>
      <c r="P57" s="6" t="str">
        <f>IF(OR(Table16[[#This Row],[Type]]="Main Product", Table16[[#This Row],[Type]]="Co-Product"), Table16[[#This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IF(Table16[[#This Row],[Type]]="Co-product", "No", "")</f>
        <v/>
      </c>
      <c r="J58" s="25"/>
      <c r="K58" s="6"/>
      <c r="L58" s="6" t="str">
        <f>IF(Table16[[#This Row],[Category]]="Transportation", _xlfn.XLOOKUP(Table16[[#This Row],[Resource]], 'SI - Payload'!$A$10:$A$38,'SI - Payload'!$B$10:$B$38,"",0), "")</f>
        <v/>
      </c>
      <c r="M58" s="6" t="str">
        <f>IF(Table16[[#This Row],[Category]]="Transportation", "ton", "")</f>
        <v/>
      </c>
      <c r="N58" s="6"/>
      <c r="O58" s="6"/>
      <c r="P58" s="6" t="str">
        <f>IF(OR(Table16[[#This Row],[Type]]="Main Product", Table16[[#This Row],[Type]]="Co-Product"), Table16[[#This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IF(Table16[[#This Row],[Type]]="Co-product", "No", "")</f>
        <v/>
      </c>
      <c r="J59" s="25"/>
      <c r="K59" s="6"/>
      <c r="L59" s="6" t="str">
        <f>IF(Table16[[#This Row],[Category]]="Transportation", _xlfn.XLOOKUP(Table16[[#This Row],[Resource]], 'SI - Payload'!$A$10:$A$38,'SI - Payload'!$B$10:$B$38,"",0), "")</f>
        <v/>
      </c>
      <c r="M59" s="6" t="str">
        <f>IF(Table16[[#This Row],[Category]]="Transportation", "ton", "")</f>
        <v/>
      </c>
      <c r="N59" s="6"/>
      <c r="O59" s="6"/>
      <c r="P59" s="6" t="str">
        <f>IF(OR(Table16[[#This Row],[Type]]="Main Product", Table16[[#This Row],[Type]]="Co-Product"), Table16[[#This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IF(Table16[[#This Row],[Type]]="Co-product", "No", "")</f>
        <v/>
      </c>
      <c r="J60" s="25"/>
      <c r="K60" s="6"/>
      <c r="L60" s="6" t="str">
        <f>IF(Table16[[#This Row],[Category]]="Transportation", _xlfn.XLOOKUP(Table16[[#This Row],[Resource]], 'SI - Payload'!$A$10:$A$38,'SI - Payload'!$B$10:$B$38,"",0), "")</f>
        <v/>
      </c>
      <c r="M60" s="6" t="str">
        <f>IF(Table16[[#This Row],[Category]]="Transportation", "ton", "")</f>
        <v/>
      </c>
      <c r="N60" s="6"/>
      <c r="O60" s="6"/>
      <c r="P60" s="6" t="str">
        <f>IF(OR(Table16[[#This Row],[Type]]="Main Product", Table16[[#This Row],[Type]]="Co-Product"), Table16[[#This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IF(Table16[[#This Row],[Type]]="Co-product", "No", "")</f>
        <v/>
      </c>
      <c r="J61" s="25"/>
      <c r="K61" s="6"/>
      <c r="L61" s="6" t="str">
        <f>IF(Table16[[#This Row],[Category]]="Transportation", _xlfn.XLOOKUP(Table16[[#This Row],[Resource]], 'SI - Payload'!$A$10:$A$38,'SI - Payload'!$B$10:$B$38,"",0), "")</f>
        <v/>
      </c>
      <c r="M61" s="6" t="str">
        <f>IF(Table16[[#This Row],[Category]]="Transportation", "ton", "")</f>
        <v/>
      </c>
      <c r="N61" s="6"/>
      <c r="O61" s="6"/>
      <c r="P61" s="6" t="str">
        <f>IF(OR(Table16[[#This Row],[Type]]="Main Product", Table16[[#This Row],[Type]]="Co-Product"), Table16[[#This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IF(Table16[[#This Row],[Type]]="Co-product", "No", "")</f>
        <v/>
      </c>
      <c r="J62" s="25"/>
      <c r="K62" s="6"/>
      <c r="L62" s="6" t="str">
        <f>IF(Table16[[#This Row],[Category]]="Transportation", _xlfn.XLOOKUP(Table16[[#This Row],[Resource]], 'SI - Payload'!$A$10:$A$38,'SI - Payload'!$B$10:$B$38,"",0), "")</f>
        <v/>
      </c>
      <c r="M62" s="6" t="str">
        <f>IF(Table16[[#This Row],[Category]]="Transportation", "ton", "")</f>
        <v/>
      </c>
      <c r="N62" s="6"/>
      <c r="O62" s="6"/>
      <c r="P62" s="6" t="str">
        <f>IF(OR(Table16[[#This Row],[Type]]="Main Product", Table16[[#This Row],[Type]]="Co-Product"), Table16[[#This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IF(Table16[[#This Row],[Type]]="Co-product", "No", "")</f>
        <v/>
      </c>
      <c r="J63" s="25"/>
      <c r="K63" s="6"/>
      <c r="L63" s="6" t="str">
        <f>IF(Table16[[#This Row],[Category]]="Transportation", _xlfn.XLOOKUP(Table16[[#This Row],[Resource]], 'SI - Payload'!$A$10:$A$38,'SI - Payload'!$B$10:$B$38,"",0), "")</f>
        <v/>
      </c>
      <c r="M63" s="6" t="str">
        <f>IF(Table16[[#This Row],[Category]]="Transportation", "ton", "")</f>
        <v/>
      </c>
      <c r="N63" s="6"/>
      <c r="O63" s="6"/>
      <c r="P63" s="6" t="str">
        <f>IF(OR(Table16[[#This Row],[Type]]="Main Product", Table16[[#This Row],[Type]]="Co-Product"), Table16[[#This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IF(Table16[[#This Row],[Type]]="Co-product", "No", "")</f>
        <v/>
      </c>
      <c r="J64" s="25"/>
      <c r="K64" s="6"/>
      <c r="L64" s="6" t="str">
        <f>IF(Table16[[#This Row],[Category]]="Transportation", _xlfn.XLOOKUP(Table16[[#This Row],[Resource]], 'SI - Payload'!$A$10:$A$38,'SI - Payload'!$B$10:$B$38,"",0), "")</f>
        <v/>
      </c>
      <c r="M64" s="6" t="str">
        <f>IF(Table16[[#This Row],[Category]]="Transportation", "ton", "")</f>
        <v/>
      </c>
      <c r="N64" s="6"/>
      <c r="O64" s="6"/>
      <c r="P64" s="6" t="str">
        <f>IF(OR(Table16[[#This Row],[Type]]="Main Product", Table16[[#This Row],[Type]]="Co-Product"), Table16[[#This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IF(Table16[[#This Row],[Type]]="Co-product", "No", "")</f>
        <v/>
      </c>
      <c r="J65" s="25"/>
      <c r="K65" s="6"/>
      <c r="L65" s="6" t="str">
        <f>IF(Table16[[#This Row],[Category]]="Transportation", _xlfn.XLOOKUP(Table16[[#This Row],[Resource]], 'SI - Payload'!$A$10:$A$38,'SI - Payload'!$B$10:$B$38,"",0), "")</f>
        <v/>
      </c>
      <c r="M65" s="6" t="str">
        <f>IF(Table16[[#This Row],[Category]]="Transportation", "ton", "")</f>
        <v/>
      </c>
      <c r="N65" s="6"/>
      <c r="O65" s="6"/>
      <c r="P65" s="6" t="str">
        <f>IF(OR(Table16[[#This Row],[Type]]="Main Product", Table16[[#This Row],[Type]]="Co-Product"), Table16[[#This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IF(Table16[[#This Row],[Type]]="Co-product", "No", "")</f>
        <v/>
      </c>
      <c r="J66" s="25"/>
      <c r="K66" s="6"/>
      <c r="L66" s="6" t="str">
        <f>IF(Table16[[#This Row],[Category]]="Transportation", _xlfn.XLOOKUP(Table16[[#This Row],[Resource]], 'SI - Payload'!$A$10:$A$38,'SI - Payload'!$B$10:$B$38,"",0), "")</f>
        <v/>
      </c>
      <c r="M66" s="6" t="str">
        <f>IF(Table16[[#This Row],[Category]]="Transportation", "ton", "")</f>
        <v/>
      </c>
      <c r="N66" s="6"/>
      <c r="O66" s="6"/>
      <c r="P66" s="6" t="str">
        <f>IF(OR(Table16[[#This Row],[Type]]="Main Product", Table16[[#This Row],[Type]]="Co-Product"), Table16[[#This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IF(Table16[[#This Row],[Type]]="Co-product", "No", "")</f>
        <v/>
      </c>
      <c r="J67" s="25"/>
      <c r="K67" s="6"/>
      <c r="L67" s="6" t="str">
        <f>IF(Table16[[#This Row],[Category]]="Transportation", _xlfn.XLOOKUP(Table16[[#This Row],[Resource]], 'SI - Payload'!$A$10:$A$38,'SI - Payload'!$B$10:$B$38,"",0), "")</f>
        <v/>
      </c>
      <c r="M67" s="6" t="str">
        <f>IF(Table16[[#This Row],[Category]]="Transportation", "ton", "")</f>
        <v/>
      </c>
      <c r="N67" s="6"/>
      <c r="O67" s="6"/>
      <c r="P67" s="6" t="str">
        <f>IF(OR(Table16[[#This Row],[Type]]="Main Product", Table16[[#This Row],[Type]]="Co-Product"), Table16[[#This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IF(Table16[[#This Row],[Type]]="Co-product", "No", "")</f>
        <v/>
      </c>
      <c r="J68" s="25"/>
      <c r="K68" s="6"/>
      <c r="L68" s="6" t="str">
        <f>IF(Table16[[#This Row],[Category]]="Transportation", _xlfn.XLOOKUP(Table16[[#This Row],[Resource]], 'SI - Payload'!$A$10:$A$38,'SI - Payload'!$B$10:$B$38,"",0), "")</f>
        <v/>
      </c>
      <c r="M68" s="6" t="str">
        <f>IF(Table16[[#This Row],[Category]]="Transportation", "ton", "")</f>
        <v/>
      </c>
      <c r="N68" s="6"/>
      <c r="O68" s="6"/>
      <c r="P68" s="6" t="str">
        <f>IF(OR(Table16[[#This Row],[Type]]="Main Product", Table16[[#This Row],[Type]]="Co-Product"), Table16[[#This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IF(Table16[[#This Row],[Type]]="Co-product", "No", "")</f>
        <v/>
      </c>
      <c r="J69" s="25"/>
      <c r="K69" s="6"/>
      <c r="L69" s="6" t="str">
        <f>IF(Table16[[#This Row],[Category]]="Transportation", _xlfn.XLOOKUP(Table16[[#This Row],[Resource]], 'SI - Payload'!$A$10:$A$38,'SI - Payload'!$B$10:$B$38,"",0), "")</f>
        <v/>
      </c>
      <c r="M69" s="6" t="str">
        <f>IF(Table16[[#This Row],[Category]]="Transportation", "ton", "")</f>
        <v/>
      </c>
      <c r="N69" s="6"/>
      <c r="O69" s="6"/>
      <c r="P69" s="6" t="str">
        <f>IF(OR(Table16[[#This Row],[Type]]="Main Product", Table16[[#This Row],[Type]]="Co-Product"), Table16[[#This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IF(Table16[[#This Row],[Type]]="Co-product", "No", "")</f>
        <v/>
      </c>
      <c r="J70" s="25"/>
      <c r="K70" s="6"/>
      <c r="L70" s="6" t="str">
        <f>IF(Table16[[#This Row],[Category]]="Transportation", _xlfn.XLOOKUP(Table16[[#This Row],[Resource]], 'SI - Payload'!$A$10:$A$38,'SI - Payload'!$B$10:$B$38,"",0), "")</f>
        <v/>
      </c>
      <c r="M70" s="6" t="str">
        <f>IF(Table16[[#This Row],[Category]]="Transportation", "ton", "")</f>
        <v/>
      </c>
      <c r="N70" s="6"/>
      <c r="O70" s="6"/>
      <c r="P70" s="6" t="str">
        <f>IF(OR(Table16[[#This Row],[Type]]="Main Product", Table16[[#This Row],[Type]]="Co-Product"), Table16[[#This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IF(Table16[[#This Row],[Type]]="Co-product", "No", "")</f>
        <v/>
      </c>
      <c r="J71" s="25"/>
      <c r="K71" s="6"/>
      <c r="L71" s="6" t="str">
        <f>IF(Table16[[#This Row],[Category]]="Transportation", _xlfn.XLOOKUP(Table16[[#This Row],[Resource]], 'SI - Payload'!$A$10:$A$38,'SI - Payload'!$B$10:$B$38,"",0), "")</f>
        <v/>
      </c>
      <c r="M71" s="6" t="str">
        <f>IF(Table16[[#This Row],[Category]]="Transportation", "ton", "")</f>
        <v/>
      </c>
      <c r="N71" s="6"/>
      <c r="O71" s="6"/>
      <c r="P71" s="6" t="str">
        <f>IF(OR(Table16[[#This Row],[Type]]="Main Product", Table16[[#This Row],[Type]]="Co-Product"), Table16[[#This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IF(Table16[[#This Row],[Type]]="Co-product", "No", "")</f>
        <v/>
      </c>
      <c r="J72" s="25"/>
      <c r="K72" s="6"/>
      <c r="L72" s="6" t="str">
        <f>IF(Table16[[#This Row],[Category]]="Transportation", _xlfn.XLOOKUP(Table16[[#This Row],[Resource]], 'SI - Payload'!$A$10:$A$38,'SI - Payload'!$B$10:$B$38,"",0), "")</f>
        <v/>
      </c>
      <c r="M72" s="6" t="str">
        <f>IF(Table16[[#This Row],[Category]]="Transportation", "ton", "")</f>
        <v/>
      </c>
      <c r="N72" s="6"/>
      <c r="O72" s="6"/>
      <c r="P72" s="6" t="str">
        <f>IF(OR(Table16[[#This Row],[Type]]="Main Product", Table16[[#This Row],[Type]]="Co-Product"), Table16[[#This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IF(Table16[[#This Row],[Type]]="Co-product", "No", "")</f>
        <v/>
      </c>
      <c r="J73" s="25"/>
      <c r="K73" s="6"/>
      <c r="L73" s="6" t="str">
        <f>IF(Table16[[#This Row],[Category]]="Transportation", _xlfn.XLOOKUP(Table16[[#This Row],[Resource]], 'SI - Payload'!$A$10:$A$38,'SI - Payload'!$B$10:$B$38,"",0), "")</f>
        <v/>
      </c>
      <c r="M73" s="6" t="str">
        <f>IF(Table16[[#This Row],[Category]]="Transportation", "ton", "")</f>
        <v/>
      </c>
      <c r="N73" s="6"/>
      <c r="O73" s="6"/>
      <c r="P73" s="6" t="str">
        <f>IF(OR(Table16[[#This Row],[Type]]="Main Product", Table16[[#This Row],[Type]]="Co-Product"), Table16[[#This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IF(Table16[[#This Row],[Type]]="Co-product", "No", "")</f>
        <v/>
      </c>
      <c r="J74" s="25"/>
      <c r="K74" s="6"/>
      <c r="L74" s="6" t="str">
        <f>IF(Table16[[#This Row],[Category]]="Transportation", _xlfn.XLOOKUP(Table16[[#This Row],[Resource]], 'SI - Payload'!$A$10:$A$38,'SI - Payload'!$B$10:$B$38,"",0), "")</f>
        <v/>
      </c>
      <c r="M74" s="6" t="str">
        <f>IF(Table16[[#This Row],[Category]]="Transportation", "ton", "")</f>
        <v/>
      </c>
      <c r="N74" s="6"/>
      <c r="O74" s="6"/>
      <c r="P74" s="6" t="str">
        <f>IF(OR(Table16[[#This Row],[Type]]="Main Product", Table16[[#This Row],[Type]]="Co-Product"), Table16[[#This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IF(Table16[[#This Row],[Type]]="Co-product", "No", "")</f>
        <v/>
      </c>
      <c r="J75" s="25"/>
      <c r="K75" s="6"/>
      <c r="L75" s="6" t="str">
        <f>IF(Table16[[#This Row],[Category]]="Transportation", _xlfn.XLOOKUP(Table16[[#This Row],[Resource]], 'SI - Payload'!$A$10:$A$38,'SI - Payload'!$B$10:$B$38,"",0), "")</f>
        <v/>
      </c>
      <c r="M75" s="6" t="str">
        <f>IF(Table16[[#This Row],[Category]]="Transportation", "ton", "")</f>
        <v/>
      </c>
      <c r="N75" s="6"/>
      <c r="O75" s="6"/>
      <c r="P75" s="6" t="str">
        <f>IF(OR(Table16[[#This Row],[Type]]="Main Product", Table16[[#This Row],[Type]]="Co-Product"), Table16[[#This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IF(Table16[[#This Row],[Type]]="Co-product", "No", "")</f>
        <v/>
      </c>
      <c r="J76" s="25"/>
      <c r="K76" s="6"/>
      <c r="L76" s="6" t="str">
        <f>IF(Table16[[#This Row],[Category]]="Transportation", _xlfn.XLOOKUP(Table16[[#This Row],[Resource]], 'SI - Payload'!$A$10:$A$38,'SI - Payload'!$B$10:$B$38,"",0), "")</f>
        <v/>
      </c>
      <c r="M76" s="6" t="str">
        <f>IF(Table16[[#This Row],[Category]]="Transportation", "ton", "")</f>
        <v/>
      </c>
      <c r="N76" s="6"/>
      <c r="O76" s="6"/>
      <c r="P76" s="6" t="str">
        <f>IF(OR(Table16[[#This Row],[Type]]="Main Product", Table16[[#This Row],[Type]]="Co-Product"), Table16[[#This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IF(Table16[[#This Row],[Type]]="Co-product", "No", "")</f>
        <v/>
      </c>
      <c r="J77" s="25"/>
      <c r="K77" s="6"/>
      <c r="L77" s="6" t="str">
        <f>IF(Table16[[#This Row],[Category]]="Transportation", _xlfn.XLOOKUP(Table16[[#This Row],[Resource]], 'SI - Payload'!$A$10:$A$38,'SI - Payload'!$B$10:$B$38,"",0), "")</f>
        <v/>
      </c>
      <c r="M77" s="6" t="str">
        <f>IF(Table16[[#This Row],[Category]]="Transportation", "ton", "")</f>
        <v/>
      </c>
      <c r="N77" s="6"/>
      <c r="O77" s="6"/>
      <c r="P77" s="6" t="str">
        <f>IF(OR(Table16[[#This Row],[Type]]="Main Product", Table16[[#This Row],[Type]]="Co-Product"), Table16[[#This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IF(Table16[[#This Row],[Type]]="Co-product", "No", "")</f>
        <v/>
      </c>
      <c r="J78" s="25"/>
      <c r="K78" s="6"/>
      <c r="L78" s="6" t="str">
        <f>IF(Table16[[#This Row],[Category]]="Transportation", _xlfn.XLOOKUP(Table16[[#This Row],[Resource]], 'SI - Payload'!$A$10:$A$38,'SI - Payload'!$B$10:$B$38,"",0), "")</f>
        <v/>
      </c>
      <c r="M78" s="6" t="str">
        <f>IF(Table16[[#This Row],[Category]]="Transportation", "ton", "")</f>
        <v/>
      </c>
      <c r="N78" s="6"/>
      <c r="O78" s="6"/>
      <c r="P78" s="6" t="str">
        <f>IF(OR(Table16[[#This Row],[Type]]="Main Product", Table16[[#This Row],[Type]]="Co-Product"), Table16[[#This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IF(Table16[[#This Row],[Type]]="Co-product", "No", "")</f>
        <v/>
      </c>
      <c r="J79" s="25"/>
      <c r="K79" s="6"/>
      <c r="L79" s="6" t="str">
        <f>IF(Table16[[#This Row],[Category]]="Transportation", _xlfn.XLOOKUP(Table16[[#This Row],[Resource]], 'SI - Payload'!$A$10:$A$38,'SI - Payload'!$B$10:$B$38,"",0), "")</f>
        <v/>
      </c>
      <c r="M79" s="6" t="str">
        <f>IF(Table16[[#This Row],[Category]]="Transportation", "ton", "")</f>
        <v/>
      </c>
      <c r="N79" s="6"/>
      <c r="O79" s="6"/>
      <c r="P79" s="6" t="str">
        <f>IF(OR(Table16[[#This Row],[Type]]="Main Product", Table16[[#This Row],[Type]]="Co-Product"), Table16[[#This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IF(Table16[[#This Row],[Type]]="Co-product", "No", "")</f>
        <v/>
      </c>
      <c r="J80" s="25"/>
      <c r="K80" s="6"/>
      <c r="L80" s="6" t="str">
        <f>IF(Table16[[#This Row],[Category]]="Transportation", _xlfn.XLOOKUP(Table16[[#This Row],[Resource]], 'SI - Payload'!$A$10:$A$38,'SI - Payload'!$B$10:$B$38,"",0), "")</f>
        <v/>
      </c>
      <c r="M80" s="6" t="str">
        <f>IF(Table16[[#This Row],[Category]]="Transportation", "ton", "")</f>
        <v/>
      </c>
      <c r="N80" s="6"/>
      <c r="O80" s="6"/>
      <c r="P80" s="6" t="str">
        <f>IF(OR(Table16[[#This Row],[Type]]="Main Product", Table16[[#This Row],[Type]]="Co-Product"), Table16[[#This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IF(Table16[[#This Row],[Type]]="Co-product", "No", "")</f>
        <v/>
      </c>
      <c r="J81" s="25"/>
      <c r="K81" s="6"/>
      <c r="L81" s="6" t="str">
        <f>IF(Table16[[#This Row],[Category]]="Transportation", _xlfn.XLOOKUP(Table16[[#This Row],[Resource]], 'SI - Payload'!$A$10:$A$38,'SI - Payload'!$B$10:$B$38,"",0), "")</f>
        <v/>
      </c>
      <c r="M81" s="6" t="str">
        <f>IF(Table16[[#This Row],[Category]]="Transportation", "ton", "")</f>
        <v/>
      </c>
      <c r="N81" s="6"/>
      <c r="O81" s="6"/>
      <c r="P81" s="6" t="str">
        <f>IF(OR(Table16[[#This Row],[Type]]="Main Product", Table16[[#This Row],[Type]]="Co-Product"), Table16[[#This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IF(Table16[[#This Row],[Type]]="Co-product", "No", "")</f>
        <v/>
      </c>
      <c r="J82" s="25"/>
      <c r="K82" s="6"/>
      <c r="L82" s="6" t="str">
        <f>IF(Table16[[#This Row],[Category]]="Transportation", _xlfn.XLOOKUP(Table16[[#This Row],[Resource]], 'SI - Payload'!$A$10:$A$38,'SI - Payload'!$B$10:$B$38,"",0), "")</f>
        <v/>
      </c>
      <c r="M82" s="6" t="str">
        <f>IF(Table16[[#This Row],[Category]]="Transportation", "ton", "")</f>
        <v/>
      </c>
      <c r="N82" s="6"/>
      <c r="O82" s="6"/>
      <c r="P82" s="6" t="str">
        <f>IF(OR(Table16[[#This Row],[Type]]="Main Product", Table16[[#This Row],[Type]]="Co-Product"), Table16[[#This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IF(Table16[[#This Row],[Type]]="Co-product", "No", "")</f>
        <v/>
      </c>
      <c r="J83" s="25"/>
      <c r="K83" s="6"/>
      <c r="L83" s="6" t="str">
        <f>IF(Table16[[#This Row],[Category]]="Transportation", _xlfn.XLOOKUP(Table16[[#This Row],[Resource]], 'SI - Payload'!$A$10:$A$38,'SI - Payload'!$B$10:$B$38,"",0), "")</f>
        <v/>
      </c>
      <c r="M83" s="6" t="str">
        <f>IF(Table16[[#This Row],[Category]]="Transportation", "ton", "")</f>
        <v/>
      </c>
      <c r="N83" s="6"/>
      <c r="O83" s="6"/>
      <c r="P83" s="6" t="str">
        <f>IF(OR(Table16[[#This Row],[Type]]="Main Product", Table16[[#This Row],[Type]]="Co-Product"), Table16[[#This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IF(Table16[[#This Row],[Type]]="Co-product", "No", "")</f>
        <v/>
      </c>
      <c r="J84" s="25"/>
      <c r="K84" s="6"/>
      <c r="L84" s="6" t="str">
        <f>IF(Table16[[#This Row],[Category]]="Transportation", _xlfn.XLOOKUP(Table16[[#This Row],[Resource]], 'SI - Payload'!$A$10:$A$38,'SI - Payload'!$B$10:$B$38,"",0), "")</f>
        <v/>
      </c>
      <c r="M84" s="6" t="str">
        <f>IF(Table16[[#This Row],[Category]]="Transportation", "ton", "")</f>
        <v/>
      </c>
      <c r="N84" s="6"/>
      <c r="O84" s="6"/>
      <c r="P84" s="6" t="str">
        <f>IF(OR(Table16[[#This Row],[Type]]="Main Product", Table16[[#This Row],[Type]]="Co-Product"), Table16[[#This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IF(Table16[[#This Row],[Type]]="Co-product", "No", "")</f>
        <v/>
      </c>
      <c r="J85" s="25"/>
      <c r="K85" s="6"/>
      <c r="L85" s="6" t="str">
        <f>IF(Table16[[#This Row],[Category]]="Transportation", _xlfn.XLOOKUP(Table16[[#This Row],[Resource]], 'SI - Payload'!$A$10:$A$38,'SI - Payload'!$B$10:$B$38,"",0), "")</f>
        <v/>
      </c>
      <c r="M85" s="6" t="str">
        <f>IF(Table16[[#This Row],[Category]]="Transportation", "ton", "")</f>
        <v/>
      </c>
      <c r="N85" s="6"/>
      <c r="O85" s="6"/>
      <c r="P85" s="6" t="str">
        <f>IF(OR(Table16[[#This Row],[Type]]="Main Product", Table16[[#This Row],[Type]]="Co-Product"), Table16[[#This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IF(Table16[[#This Row],[Type]]="Co-product", "No", "")</f>
        <v/>
      </c>
      <c r="J86" s="25"/>
      <c r="K86" s="6"/>
      <c r="L86" s="6" t="str">
        <f>IF(Table16[[#This Row],[Category]]="Transportation", _xlfn.XLOOKUP(Table16[[#This Row],[Resource]], 'SI - Payload'!$A$10:$A$38,'SI - Payload'!$B$10:$B$38,"",0), "")</f>
        <v/>
      </c>
      <c r="M86" s="6" t="str">
        <f>IF(Table16[[#This Row],[Category]]="Transportation", "ton", "")</f>
        <v/>
      </c>
      <c r="N86" s="6"/>
      <c r="O86" s="6"/>
      <c r="P86" s="6" t="str">
        <f>IF(OR(Table16[[#This Row],[Type]]="Main Product", Table16[[#This Row],[Type]]="Co-Product"), Table16[[#This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IF(Table16[[#This Row],[Type]]="Co-product", "No", "")</f>
        <v/>
      </c>
      <c r="J87" s="25"/>
      <c r="K87" s="6"/>
      <c r="L87" s="6" t="str">
        <f>IF(Table16[[#This Row],[Category]]="Transportation", _xlfn.XLOOKUP(Table16[[#This Row],[Resource]], 'SI - Payload'!$A$10:$A$38,'SI - Payload'!$B$10:$B$38,"",0), "")</f>
        <v/>
      </c>
      <c r="M87" s="6" t="str">
        <f>IF(Table16[[#This Row],[Category]]="Transportation", "ton", "")</f>
        <v/>
      </c>
      <c r="N87" s="6"/>
      <c r="O87" s="6"/>
      <c r="P87" s="6" t="str">
        <f>IF(OR(Table16[[#This Row],[Type]]="Main Product", Table16[[#This Row],[Type]]="Co-Product"), Table16[[#This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IF(Table16[[#This Row],[Type]]="Co-product", "No", "")</f>
        <v/>
      </c>
      <c r="J88" s="25"/>
      <c r="K88" s="6"/>
      <c r="L88" s="6" t="str">
        <f>IF(Table16[[#This Row],[Category]]="Transportation", _xlfn.XLOOKUP(Table16[[#This Row],[Resource]], 'SI - Payload'!$A$10:$A$38,'SI - Payload'!$B$10:$B$38,"",0), "")</f>
        <v/>
      </c>
      <c r="M88" s="6" t="str">
        <f>IF(Table16[[#This Row],[Category]]="Transportation", "ton", "")</f>
        <v/>
      </c>
      <c r="N88" s="6"/>
      <c r="O88" s="6"/>
      <c r="P88" s="6" t="str">
        <f>IF(OR(Table16[[#This Row],[Type]]="Main Product", Table16[[#This Row],[Type]]="Co-Product"), Table16[[#This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IF(Table16[[#This Row],[Type]]="Co-product", "No", "")</f>
        <v/>
      </c>
      <c r="J89" s="25"/>
      <c r="K89" s="6"/>
      <c r="L89" s="6" t="str">
        <f>IF(Table16[[#This Row],[Category]]="Transportation", _xlfn.XLOOKUP(Table16[[#This Row],[Resource]], 'SI - Payload'!$A$10:$A$38,'SI - Payload'!$B$10:$B$38,"",0), "")</f>
        <v/>
      </c>
      <c r="M89" s="6" t="str">
        <f>IF(Table16[[#This Row],[Category]]="Transportation", "ton", "")</f>
        <v/>
      </c>
      <c r="N89" s="6"/>
      <c r="O89" s="6"/>
      <c r="P89" s="6" t="str">
        <f>IF(OR(Table16[[#This Row],[Type]]="Main Product", Table16[[#This Row],[Type]]="Co-Product"), Table16[[#This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IF(Table16[[#This Row],[Type]]="Co-product", "No", "")</f>
        <v/>
      </c>
      <c r="J90" s="25"/>
      <c r="K90" s="6"/>
      <c r="L90" s="6" t="str">
        <f>IF(Table16[[#This Row],[Category]]="Transportation", _xlfn.XLOOKUP(Table16[[#This Row],[Resource]], 'SI - Payload'!$A$10:$A$38,'SI - Payload'!$B$10:$B$38,"",0), "")</f>
        <v/>
      </c>
      <c r="M90" s="6" t="str">
        <f>IF(Table16[[#This Row],[Category]]="Transportation", "ton", "")</f>
        <v/>
      </c>
      <c r="N90" s="6"/>
      <c r="O90" s="6"/>
      <c r="P90" s="6" t="str">
        <f>IF(OR(Table16[[#This Row],[Type]]="Main Product", Table16[[#This Row],[Type]]="Co-Product"), Table16[[#This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IF(Table16[[#This Row],[Type]]="Co-product", "No", "")</f>
        <v/>
      </c>
      <c r="J91" s="25"/>
      <c r="K91" s="6"/>
      <c r="L91" s="6" t="str">
        <f>IF(Table16[[#This Row],[Category]]="Transportation", _xlfn.XLOOKUP(Table16[[#This Row],[Resource]], 'SI - Payload'!$A$10:$A$38,'SI - Payload'!$B$10:$B$38,"",0), "")</f>
        <v/>
      </c>
      <c r="M91" s="6" t="str">
        <f>IF(Table16[[#This Row],[Category]]="Transportation", "ton", "")</f>
        <v/>
      </c>
      <c r="N91" s="6"/>
      <c r="O91" s="6"/>
      <c r="P91" s="6" t="str">
        <f>IF(OR(Table16[[#This Row],[Type]]="Main Product", Table16[[#This Row],[Type]]="Co-Product"), Table16[[#This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IF(Table16[[#This Row],[Type]]="Co-product", "No", "")</f>
        <v/>
      </c>
      <c r="J92" s="25"/>
      <c r="K92" s="6"/>
      <c r="L92" s="6" t="str">
        <f>IF(Table16[[#This Row],[Category]]="Transportation", _xlfn.XLOOKUP(Table16[[#This Row],[Resource]], 'SI - Payload'!$A$10:$A$38,'SI - Payload'!$B$10:$B$38,"",0), "")</f>
        <v/>
      </c>
      <c r="M92" s="6" t="str">
        <f>IF(Table16[[#This Row],[Category]]="Transportation", "ton", "")</f>
        <v/>
      </c>
      <c r="N92" s="6"/>
      <c r="O92" s="6"/>
      <c r="P92" s="6" t="str">
        <f>IF(OR(Table16[[#This Row],[Type]]="Main Product", Table16[[#This Row],[Type]]="Co-Product"), Table16[[#This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IF(Table16[[#This Row],[Type]]="Co-product", "No", "")</f>
        <v/>
      </c>
      <c r="J93" s="25"/>
      <c r="K93" s="6"/>
      <c r="L93" s="6" t="str">
        <f>IF(Table16[[#This Row],[Category]]="Transportation", _xlfn.XLOOKUP(Table16[[#This Row],[Resource]], 'SI - Payload'!$A$10:$A$38,'SI - Payload'!$B$10:$B$38,"",0), "")</f>
        <v/>
      </c>
      <c r="M93" s="6" t="str">
        <f>IF(Table16[[#This Row],[Category]]="Transportation", "ton", "")</f>
        <v/>
      </c>
      <c r="N93" s="6"/>
      <c r="O93" s="6"/>
      <c r="P93" s="6" t="str">
        <f>IF(OR(Table16[[#This Row],[Type]]="Main Product", Table16[[#This Row],[Type]]="Co-Product"), Table16[[#This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IF(Table16[[#This Row],[Type]]="Co-product", "No", "")</f>
        <v/>
      </c>
      <c r="J94" s="25"/>
      <c r="K94" s="6"/>
      <c r="L94" s="6" t="str">
        <f>IF(Table16[[#This Row],[Category]]="Transportation", _xlfn.XLOOKUP(Table16[[#This Row],[Resource]], 'SI - Payload'!$A$10:$A$38,'SI - Payload'!$B$10:$B$38,"",0), "")</f>
        <v/>
      </c>
      <c r="M94" s="6" t="str">
        <f>IF(Table16[[#This Row],[Category]]="Transportation", "ton", "")</f>
        <v/>
      </c>
      <c r="N94" s="6"/>
      <c r="O94" s="6"/>
      <c r="P94" s="6" t="str">
        <f>IF(OR(Table16[[#This Row],[Type]]="Main Product", Table16[[#This Row],[Type]]="Co-Product"), Table16[[#This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IF(Table16[[#This Row],[Type]]="Co-product", "No", "")</f>
        <v/>
      </c>
      <c r="J95" s="25"/>
      <c r="K95" s="6"/>
      <c r="L95" s="6" t="str">
        <f>IF(Table16[[#This Row],[Category]]="Transportation", _xlfn.XLOOKUP(Table16[[#This Row],[Resource]], 'SI - Payload'!$A$10:$A$38,'SI - Payload'!$B$10:$B$38,"",0), "")</f>
        <v/>
      </c>
      <c r="M95" s="6" t="str">
        <f>IF(Table16[[#This Row],[Category]]="Transportation", "ton", "")</f>
        <v/>
      </c>
      <c r="N95" s="6"/>
      <c r="O95" s="6"/>
      <c r="P95" s="6" t="str">
        <f>IF(OR(Table16[[#This Row],[Type]]="Main Product", Table16[[#This Row],[Type]]="Co-Product"), Table16[[#This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IF(Table16[[#This Row],[Type]]="Co-product", "No", "")</f>
        <v/>
      </c>
      <c r="J96" s="25"/>
      <c r="K96" s="6"/>
      <c r="L96" s="6" t="str">
        <f>IF(Table16[[#This Row],[Category]]="Transportation", _xlfn.XLOOKUP(Table16[[#This Row],[Resource]], 'SI - Payload'!$A$10:$A$38,'SI - Payload'!$B$10:$B$38,"",0), "")</f>
        <v/>
      </c>
      <c r="M96" s="6" t="str">
        <f>IF(Table16[[#This Row],[Category]]="Transportation", "ton", "")</f>
        <v/>
      </c>
      <c r="N96" s="6"/>
      <c r="O96" s="6"/>
      <c r="P96" s="6" t="str">
        <f>IF(OR(Table16[[#This Row],[Type]]="Main Product", Table16[[#This Row],[Type]]="Co-Product"), Table16[[#This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IF(Table16[[#This Row],[Type]]="Co-product", "No", "")</f>
        <v/>
      </c>
      <c r="J97" s="25"/>
      <c r="K97" s="6"/>
      <c r="L97" s="6" t="str">
        <f>IF(Table16[[#This Row],[Category]]="Transportation", _xlfn.XLOOKUP(Table16[[#This Row],[Resource]], 'SI - Payload'!$A$10:$A$38,'SI - Payload'!$B$10:$B$38,"",0), "")</f>
        <v/>
      </c>
      <c r="M97" s="6" t="str">
        <f>IF(Table16[[#This Row],[Category]]="Transportation", "ton", "")</f>
        <v/>
      </c>
      <c r="N97" s="6"/>
      <c r="O97" s="6"/>
      <c r="P97" s="6" t="str">
        <f>IF(OR(Table16[[#This Row],[Type]]="Main Product", Table16[[#This Row],[Type]]="Co-Product"), Table16[[#This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IF(Table16[[#This Row],[Type]]="Co-product", "No", "")</f>
        <v/>
      </c>
      <c r="J98" s="25"/>
      <c r="K98" s="6"/>
      <c r="L98" s="6" t="str">
        <f>IF(Table16[[#This Row],[Category]]="Transportation", _xlfn.XLOOKUP(Table16[[#This Row],[Resource]], 'SI - Payload'!$A$10:$A$38,'SI - Payload'!$B$10:$B$38,"",0), "")</f>
        <v/>
      </c>
      <c r="M98" s="6" t="str">
        <f>IF(Table16[[#This Row],[Category]]="Transportation", "ton", "")</f>
        <v/>
      </c>
      <c r="N98" s="6"/>
      <c r="O98" s="6"/>
      <c r="P98" s="6" t="str">
        <f>IF(OR(Table16[[#This Row],[Type]]="Main Product", Table16[[#This Row],[Type]]="Co-Product"), Table16[[#This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IF(Table16[[#This Row],[Type]]="Co-product", "No", "")</f>
        <v/>
      </c>
      <c r="J99" s="25"/>
      <c r="K99" s="6"/>
      <c r="L99" s="6" t="str">
        <f>IF(Table16[[#This Row],[Category]]="Transportation", _xlfn.XLOOKUP(Table16[[#This Row],[Resource]], 'SI - Payload'!$A$10:$A$38,'SI - Payload'!$B$10:$B$38,"",0), "")</f>
        <v/>
      </c>
      <c r="M99" s="6" t="str">
        <f>IF(Table16[[#This Row],[Category]]="Transportation", "ton", "")</f>
        <v/>
      </c>
      <c r="N99" s="6"/>
      <c r="O99" s="6"/>
      <c r="P99" s="6" t="str">
        <f>IF(OR(Table16[[#This Row],[Type]]="Main Product", Table16[[#This Row],[Type]]="Co-Product"), Table16[[#This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IF(Table16[[#This Row],[Type]]="Co-product", "No", "")</f>
        <v/>
      </c>
      <c r="J100" s="25"/>
      <c r="K100" s="6"/>
      <c r="L100" s="6" t="str">
        <f>IF(Table16[[#This Row],[Category]]="Transportation", _xlfn.XLOOKUP(Table16[[#This Row],[Resource]], 'SI - Payload'!$A$10:$A$38,'SI - Payload'!$B$10:$B$38,"",0), "")</f>
        <v/>
      </c>
      <c r="M100" s="6" t="str">
        <f>IF(Table16[[#This Row],[Category]]="Transportation", "ton", "")</f>
        <v/>
      </c>
      <c r="N100" s="6"/>
      <c r="O100" s="6"/>
      <c r="P100" s="6" t="str">
        <f>IF(OR(Table16[[#This Row],[Type]]="Main Product", Table16[[#This Row],[Type]]="Co-Product"), Table16[[#This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84E63DFE-8F7C-4804-8D70-298AF1B33E8F}">
      <formula1>0</formula1>
      <formula2>1</formula2>
    </dataValidation>
    <dataValidation type="list" allowBlank="1" showInputMessage="1" showErrorMessage="1" sqref="M6:M100" xr:uid="{866515D0-C6DF-426F-BFF4-31B8C95AB225}">
      <formula1>payload_units</formula1>
    </dataValidation>
    <dataValidation type="decimal" operator="greaterThan" allowBlank="1" showInputMessage="1" showErrorMessage="1" error="Please type a positive number." sqref="L6:L100" xr:uid="{B339272A-2DC0-4FA4-95F4-38E4F234F963}">
      <formula1>0</formula1>
    </dataValidation>
    <dataValidation type="decimal" operator="greaterThan" allowBlank="1" showInputMessage="1" showErrorMessage="1" error="Please type a positive price." sqref="N6:N100" xr:uid="{EF04C865-5BFF-4E43-991D-8F3EBFC1C5D1}">
      <formula1>0</formula1>
    </dataValidation>
    <dataValidation type="decimal" allowBlank="1" showInputMessage="1" showErrorMessage="1" error="Please type a number between 0 and 1." sqref="G6:G100" xr:uid="{46C47543-A510-445C-AA74-C62B69034AF0}">
      <formula1>0</formula1>
      <formula2>1</formula2>
    </dataValidation>
    <dataValidation type="custom" allowBlank="1" showInputMessage="1" showErrorMessage="1" sqref="E6:E100" xr:uid="{79FCF697-E877-446A-95C8-576DDA1E7E51}">
      <formula1>ISNUMBER(E6)</formula1>
    </dataValidation>
    <dataValidation type="list" allowBlank="1" showInputMessage="1" showErrorMessage="1" sqref="C2" xr:uid="{C6695C33-2BB9-4C61-AAFD-923CC2C37094}">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B5B83BA-B6CA-4E54-8AB6-C172D4241F58}">
          <x14:formula1>
            <xm:f>IF($B16="Transportation",  transport_units, INDIRECT(_xlfn.XLOOKUP($C16, 'SI - Units'!$F$26:$F$36,'SI - Units'!$G$26:$G$36,"mass",0)))</xm:f>
          </x14:formula1>
          <xm:sqref>F16:F100</xm:sqref>
        </x14:dataValidation>
        <x14:dataValidation type="list" allowBlank="1" showInputMessage="1" showErrorMessage="1" xr:uid="{70E71531-6210-4853-BBC1-8E9D61DD3EB2}">
          <x14:formula1>
            <xm:f>INDIRECT("p_"&amp;_xlfn.XLOOKUP($C6,'SI - Units'!$F$26:$F$36,'SI - Units'!$G$26:$G$36,"mass",0))</xm:f>
          </x14:formula1>
          <xm:sqref>O6:O100</xm:sqref>
        </x14:dataValidation>
        <x14:dataValidation type="list" allowBlank="1" showInputMessage="1" showErrorMessage="1" xr:uid="{EAA922EB-017E-4A4F-B744-E2BE84CCBABD}">
          <x14:formula1>
            <xm:f>INDIRECT(_xlfn.XLOOKUP($P6,'SI - End Use'!$A$11:$A$17,'SI - End Use'!$B$11:$B$17,"other_end_use",0))</xm:f>
          </x14:formula1>
          <xm:sqref>Q6:Q100</xm:sqref>
        </x14:dataValidation>
        <x14:dataValidation type="list" allowBlank="1" showInputMessage="1" xr:uid="{9D590357-3328-42ED-87F4-F5F1B82002D2}">
          <x14:formula1>
            <xm:f>INDIRECT(_xlfn.XLOOKUP($C16,'SI - End Use'!$A$11:$A$17,'SI - End Use'!$B$11:$B$17,"other_end_use",0))</xm:f>
          </x14:formula1>
          <xm:sqref>D16:D100</xm:sqref>
        </x14:dataValidation>
        <x14:dataValidation type="list" allowBlank="1" showInputMessage="1" showErrorMessage="1" xr:uid="{0AAA7BE7-F2BF-4B82-97F3-DD5E556F8E2C}">
          <x14:formula1>
            <xm:f>INDIRECT(_xlfn.XLOOKUP($B6, 'SI - Resources'!$R$1:$R$10,'SI - Resources'!$S$1:$S$10, "placeholder_resource", 0))</xm:f>
          </x14:formula1>
          <xm:sqref>P6:P100 C16:C100</xm:sqref>
        </x14:dataValidation>
        <x14:dataValidation type="list" allowBlank="1" showInputMessage="1" showErrorMessage="1" xr:uid="{C44992AD-CE8B-4598-A25D-D878734E6958}">
          <x14:formula1>
            <xm:f>'SI - Co-products'!$B$2:$B$6</xm:f>
          </x14:formula1>
          <xm:sqref>A16:A100</xm:sqref>
        </x14:dataValidation>
        <x14:dataValidation type="list" allowBlank="1" showInputMessage="1" showErrorMessage="1" xr:uid="{75452651-37D9-48E3-9106-B46D6E8BA346}">
          <x14:formula1>
            <xm:f>'SI - Resources'!$A$1:$J$1</xm:f>
          </x14:formula1>
          <xm:sqref>B16:B100</xm:sqref>
        </x14:dataValidation>
        <x14:dataValidation type="list" allowBlank="1" showInputMessage="1" showErrorMessage="1" xr:uid="{D427360F-6FF9-4258-BE33-738811568FA1}">
          <x14:formula1>
            <xm:f>'SI - Co-products'!$C$2:$C$4</xm:f>
          </x14:formula1>
          <xm:sqref>I6:I100</xm:sqref>
        </x14:dataValidation>
        <x14:dataValidation type="list" allowBlank="1" showInputMessage="1" showErrorMessage="1" xr:uid="{BD492927-FE1E-4216-ABB1-08104F6DCF05}">
          <x14:formula1>
            <xm:f>'SI - Co-products'!$A$2:$A$5</xm:f>
          </x14:formula1>
          <xm:sqref>K6:K100</xm:sqref>
        </x14:dataValidation>
        <x14:dataValidation type="list" allowBlank="1" showInputMessage="1" showErrorMessage="1" xr:uid="{BFD33EC1-F2B0-4290-8DAF-FFD82CDE6D74}">
          <x14:formula1>
            <xm:f>_xlfn.XLOOKUP(_xlfn.XLOOKUP(#REF!,'SI - Units'!$B$24:$B$109,'SI - Units'!$C$24:$C$109),'SI - Units'!$A$2:$A$8,'SI - Units'!$B$2:$R$8)</xm:f>
          </x14:formula1>
          <xm:sqref>F5</xm:sqref>
        </x14:dataValidation>
        <x14:dataValidation type="list" allowBlank="1" showInputMessage="1" showErrorMessage="1" xr:uid="{7E61A212-2A9F-4BE9-819E-D79BE99AC667}">
          <x14:formula1>
            <xm:f>'SI - Co-products'!$D$2:$D$8</xm:f>
          </x14:formula1>
          <xm:sqref>C1</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32</vt:i4>
      </vt:variant>
    </vt:vector>
  </HeadingPairs>
  <TitlesOfParts>
    <vt:vector size="41" baseType="lpstr">
      <vt:lpstr>Introduction</vt:lpstr>
      <vt:lpstr>Template</vt:lpstr>
      <vt:lpstr>SI - Payload</vt:lpstr>
      <vt:lpstr>SI - Resources</vt:lpstr>
      <vt:lpstr>SI - End Use</vt:lpstr>
      <vt:lpstr>SI - Units</vt:lpstr>
      <vt:lpstr>SI - Co-products</vt:lpstr>
      <vt:lpstr>HTL</vt:lpstr>
      <vt:lpstr>Upgrading</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2022-11-07T21:44:21Z</dcterms:modified>
</cp:coreProperties>
</file>