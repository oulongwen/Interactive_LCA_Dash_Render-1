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F765B52-4322-4E06-8287-CAA5509AC424}" xr6:coauthVersionLast="47" xr6:coauthVersionMax="47" xr10:uidLastSave="{00000000-0000-0000-0000-000000000000}"/>
  <bookViews>
    <workbookView xWindow="-110" yWindow="-110" windowWidth="22780" windowHeight="14660" tabRatio="685" firstSheet="10" activeTab="1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INL Data" sheetId="28" r:id="rId15"/>
    <sheet name="Transportation to biorefinery" sheetId="40" r:id="rId16"/>
    <sheet name="Fuel production" sheetId="41" r:id="rId17"/>
    <sheet name="Fuel distribution" sheetId="42" r:id="rId18"/>
  </sheets>
  <externalReferences>
    <externalReference r:id="rId19"/>
    <externalReference r:id="rId20"/>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42" l="1"/>
  <c r="L7"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58" i="42"/>
  <c r="L59" i="42"/>
  <c r="L60" i="42"/>
  <c r="L61" i="42"/>
  <c r="L62" i="42"/>
  <c r="L63" i="42"/>
  <c r="L64" i="42"/>
  <c r="L65" i="42"/>
  <c r="L66" i="42"/>
  <c r="L67" i="42"/>
  <c r="L68" i="42"/>
  <c r="L69" i="42"/>
  <c r="L70" i="42"/>
  <c r="L71" i="42"/>
  <c r="L72" i="42"/>
  <c r="L73" i="42"/>
  <c r="L74" i="42"/>
  <c r="L75" i="42"/>
  <c r="L76" i="42"/>
  <c r="L77" i="42"/>
  <c r="L78" i="42"/>
  <c r="L79" i="42"/>
  <c r="L80" i="42"/>
  <c r="L81" i="42"/>
  <c r="L82" i="42"/>
  <c r="L83" i="42"/>
  <c r="L84" i="42"/>
  <c r="L85" i="42"/>
  <c r="L86" i="42"/>
  <c r="L87" i="42"/>
  <c r="L88" i="42"/>
  <c r="L89" i="42"/>
  <c r="L90" i="42"/>
  <c r="L91" i="42"/>
  <c r="L92" i="42"/>
  <c r="L93" i="42"/>
  <c r="L94" i="42"/>
  <c r="L95" i="42"/>
  <c r="L96" i="42"/>
  <c r="L97" i="42"/>
  <c r="L98" i="42"/>
  <c r="L99" i="42"/>
  <c r="L100" i="42"/>
  <c r="M6" i="42"/>
  <c r="M7" i="42"/>
  <c r="M9" i="42"/>
  <c r="M10" i="42"/>
  <c r="M11" i="42"/>
  <c r="M12" i="42"/>
  <c r="M13" i="42"/>
  <c r="M14" i="42"/>
  <c r="M15" i="42"/>
  <c r="M16" i="42"/>
  <c r="M17" i="42"/>
  <c r="M18" i="42"/>
  <c r="M19" i="42"/>
  <c r="M20" i="42"/>
  <c r="M21" i="42"/>
  <c r="M22" i="42"/>
  <c r="M23" i="42"/>
  <c r="M24" i="42"/>
  <c r="M25" i="42"/>
  <c r="M26" i="42"/>
  <c r="M27" i="42"/>
  <c r="M28" i="42"/>
  <c r="M29" i="42"/>
  <c r="M30" i="42"/>
  <c r="M31" i="42"/>
  <c r="M32" i="42"/>
  <c r="M33" i="42"/>
  <c r="M34" i="42"/>
  <c r="M35" i="42"/>
  <c r="M36" i="42"/>
  <c r="M37" i="42"/>
  <c r="M38" i="42"/>
  <c r="M39" i="42"/>
  <c r="M40" i="42"/>
  <c r="M41" i="42"/>
  <c r="M42" i="42"/>
  <c r="M43" i="42"/>
  <c r="M44" i="42"/>
  <c r="M45" i="42"/>
  <c r="M46" i="42"/>
  <c r="M47" i="42"/>
  <c r="M48" i="42"/>
  <c r="M49" i="42"/>
  <c r="M50" i="42"/>
  <c r="M51" i="42"/>
  <c r="M52" i="42"/>
  <c r="M53" i="42"/>
  <c r="M54" i="42"/>
  <c r="M55" i="42"/>
  <c r="M56" i="42"/>
  <c r="M57" i="42"/>
  <c r="M58" i="42"/>
  <c r="M59" i="42"/>
  <c r="M60" i="42"/>
  <c r="M61" i="42"/>
  <c r="M62" i="42"/>
  <c r="M63" i="42"/>
  <c r="M64" i="42"/>
  <c r="M65" i="42"/>
  <c r="M66" i="42"/>
  <c r="M67" i="42"/>
  <c r="M68" i="42"/>
  <c r="M69" i="42"/>
  <c r="M70" i="42"/>
  <c r="M71" i="42"/>
  <c r="M72" i="42"/>
  <c r="M73" i="42"/>
  <c r="M74" i="42"/>
  <c r="M75" i="42"/>
  <c r="M76" i="42"/>
  <c r="M77" i="42"/>
  <c r="M78" i="42"/>
  <c r="M79" i="42"/>
  <c r="M80" i="42"/>
  <c r="M81" i="42"/>
  <c r="M82" i="42"/>
  <c r="M83" i="42"/>
  <c r="M84" i="42"/>
  <c r="M85" i="42"/>
  <c r="M86" i="42"/>
  <c r="M87" i="42"/>
  <c r="M88" i="42"/>
  <c r="M89" i="42"/>
  <c r="M90" i="42"/>
  <c r="M91" i="42"/>
  <c r="M92" i="42"/>
  <c r="M93" i="42"/>
  <c r="M94" i="42"/>
  <c r="M95" i="42"/>
  <c r="M96" i="42"/>
  <c r="M97" i="42"/>
  <c r="M98" i="42"/>
  <c r="M99" i="42"/>
  <c r="M100" i="42"/>
  <c r="P100" i="42"/>
  <c r="Q100" i="42" s="1"/>
  <c r="I100" i="42"/>
  <c r="F100" i="42" a="1"/>
  <c r="F100" i="42" s="1"/>
  <c r="D100" i="42"/>
  <c r="C100" i="42"/>
  <c r="P99" i="42"/>
  <c r="Q99" i="42" s="1"/>
  <c r="I99" i="42"/>
  <c r="F99" i="42"/>
  <c r="F99" i="42" a="1"/>
  <c r="D99" i="42"/>
  <c r="C99" i="42"/>
  <c r="Q98" i="42"/>
  <c r="P98" i="42"/>
  <c r="I98" i="42"/>
  <c r="F98" i="42" a="1"/>
  <c r="F98" i="42" s="1"/>
  <c r="C98" i="42"/>
  <c r="D98" i="42" s="1"/>
  <c r="Q97" i="42"/>
  <c r="P97" i="42"/>
  <c r="I97" i="42"/>
  <c r="D97" i="42"/>
  <c r="C97" i="42"/>
  <c r="F97" i="42" s="1" a="1"/>
  <c r="F97" i="42" s="1"/>
  <c r="Q96" i="42"/>
  <c r="P96" i="42"/>
  <c r="I96" i="42"/>
  <c r="C96" i="42"/>
  <c r="F96" i="42" s="1" a="1"/>
  <c r="F96" i="42" s="1"/>
  <c r="P95" i="42"/>
  <c r="Q95" i="42" s="1"/>
  <c r="I95" i="42"/>
  <c r="C95" i="42"/>
  <c r="F95" i="42" s="1" a="1"/>
  <c r="F95" i="42" s="1"/>
  <c r="Q94" i="42"/>
  <c r="P94" i="42"/>
  <c r="I94" i="42"/>
  <c r="F94" i="42" a="1"/>
  <c r="F94" i="42" s="1"/>
  <c r="C94" i="42"/>
  <c r="D94" i="42" s="1"/>
  <c r="P93" i="42"/>
  <c r="Q93" i="42" s="1"/>
  <c r="I93" i="42"/>
  <c r="F93" i="42"/>
  <c r="F93" i="42" a="1"/>
  <c r="D93" i="42"/>
  <c r="C93" i="42"/>
  <c r="P92" i="42"/>
  <c r="Q92" i="42" s="1"/>
  <c r="I92" i="42"/>
  <c r="F92" i="42" a="1"/>
  <c r="F92" i="42" s="1"/>
  <c r="D92" i="42"/>
  <c r="C92" i="42"/>
  <c r="P91" i="42"/>
  <c r="Q91" i="42" s="1"/>
  <c r="I91" i="42"/>
  <c r="F91" i="42"/>
  <c r="F91" i="42" a="1"/>
  <c r="D91" i="42"/>
  <c r="C91" i="42"/>
  <c r="Q90" i="42"/>
  <c r="P90" i="42"/>
  <c r="I90" i="42"/>
  <c r="F90" i="42" a="1"/>
  <c r="F90" i="42" s="1"/>
  <c r="C90" i="42"/>
  <c r="D90" i="42" s="1"/>
  <c r="Q89" i="42"/>
  <c r="P89" i="42"/>
  <c r="I89" i="42"/>
  <c r="D89" i="42"/>
  <c r="C89" i="42"/>
  <c r="F89" i="42" s="1" a="1"/>
  <c r="F89" i="42" s="1"/>
  <c r="Q88" i="42"/>
  <c r="P88" i="42"/>
  <c r="I88" i="42"/>
  <c r="C88" i="42"/>
  <c r="F88" i="42" s="1" a="1"/>
  <c r="F88" i="42" s="1"/>
  <c r="P87" i="42"/>
  <c r="Q87" i="42" s="1"/>
  <c r="I87" i="42"/>
  <c r="C87" i="42"/>
  <c r="F87" i="42" s="1" a="1"/>
  <c r="F87" i="42" s="1"/>
  <c r="Q86" i="42"/>
  <c r="P86" i="42"/>
  <c r="I86" i="42"/>
  <c r="F86" i="42" a="1"/>
  <c r="F86" i="42" s="1"/>
  <c r="C86" i="42"/>
  <c r="D86" i="42" s="1"/>
  <c r="P85" i="42"/>
  <c r="Q85" i="42" s="1"/>
  <c r="I85" i="42"/>
  <c r="F85" i="42"/>
  <c r="F85" i="42" a="1"/>
  <c r="D85" i="42"/>
  <c r="C85" i="42"/>
  <c r="P84" i="42"/>
  <c r="Q84" i="42" s="1"/>
  <c r="I84" i="42"/>
  <c r="F84" i="42" a="1"/>
  <c r="F84" i="42" s="1"/>
  <c r="C84" i="42"/>
  <c r="D84" i="42" s="1"/>
  <c r="P83" i="42"/>
  <c r="Q83" i="42" s="1"/>
  <c r="I83" i="42"/>
  <c r="F83" i="42"/>
  <c r="F83" i="42" a="1"/>
  <c r="D83" i="42"/>
  <c r="C83" i="42"/>
  <c r="Q82" i="42"/>
  <c r="P82" i="42"/>
  <c r="I82" i="42"/>
  <c r="F82" i="42" a="1"/>
  <c r="F82" i="42" s="1"/>
  <c r="C82" i="42"/>
  <c r="D82" i="42" s="1"/>
  <c r="P81" i="42"/>
  <c r="Q81" i="42" s="1"/>
  <c r="I81" i="42"/>
  <c r="D81" i="42"/>
  <c r="C81" i="42"/>
  <c r="F81" i="42" s="1" a="1"/>
  <c r="F81" i="42" s="1"/>
  <c r="Q80" i="42"/>
  <c r="P80" i="42"/>
  <c r="I80" i="42"/>
  <c r="C80" i="42"/>
  <c r="F80" i="42" s="1" a="1"/>
  <c r="F80" i="42" s="1"/>
  <c r="P79" i="42"/>
  <c r="Q79" i="42" s="1"/>
  <c r="I79" i="42"/>
  <c r="C79" i="42"/>
  <c r="F79" i="42" s="1" a="1"/>
  <c r="F79" i="42" s="1"/>
  <c r="Q78" i="42"/>
  <c r="P78" i="42"/>
  <c r="I78" i="42"/>
  <c r="F78" i="42" a="1"/>
  <c r="F78" i="42" s="1"/>
  <c r="C78" i="42"/>
  <c r="D78" i="42" s="1"/>
  <c r="P77" i="42"/>
  <c r="Q77" i="42" s="1"/>
  <c r="I77" i="42"/>
  <c r="F77" i="42"/>
  <c r="F77" i="42" a="1"/>
  <c r="D77" i="42"/>
  <c r="C77" i="42"/>
  <c r="P76" i="42"/>
  <c r="Q76" i="42" s="1"/>
  <c r="I76" i="42"/>
  <c r="F76" i="42" a="1"/>
  <c r="F76" i="42" s="1"/>
  <c r="C76" i="42"/>
  <c r="D76" i="42" s="1"/>
  <c r="P75" i="42"/>
  <c r="Q75" i="42" s="1"/>
  <c r="I75" i="42"/>
  <c r="F75" i="42"/>
  <c r="F75" i="42" a="1"/>
  <c r="D75" i="42"/>
  <c r="C75" i="42"/>
  <c r="Q74" i="42"/>
  <c r="P74" i="42"/>
  <c r="I74" i="42"/>
  <c r="F74" i="42" a="1"/>
  <c r="F74" i="42" s="1"/>
  <c r="C74" i="42"/>
  <c r="D74" i="42" s="1"/>
  <c r="P73" i="42"/>
  <c r="Q73" i="42" s="1"/>
  <c r="I73" i="42"/>
  <c r="D73" i="42"/>
  <c r="C73" i="42"/>
  <c r="F73" i="42" s="1" a="1"/>
  <c r="F73" i="42" s="1"/>
  <c r="Q72" i="42"/>
  <c r="P72" i="42"/>
  <c r="I72" i="42"/>
  <c r="C72" i="42"/>
  <c r="F72" i="42" s="1" a="1"/>
  <c r="F72" i="42" s="1"/>
  <c r="P71" i="42"/>
  <c r="Q71" i="42" s="1"/>
  <c r="I71" i="42"/>
  <c r="C71" i="42"/>
  <c r="F71" i="42" s="1" a="1"/>
  <c r="F71" i="42" s="1"/>
  <c r="Q70" i="42"/>
  <c r="P70" i="42"/>
  <c r="I70" i="42"/>
  <c r="F70" i="42" a="1"/>
  <c r="F70" i="42" s="1"/>
  <c r="C70" i="42"/>
  <c r="D70" i="42" s="1"/>
  <c r="P69" i="42"/>
  <c r="Q69" i="42" s="1"/>
  <c r="I69" i="42"/>
  <c r="F69" i="42"/>
  <c r="F69" i="42" a="1"/>
  <c r="D69" i="42"/>
  <c r="C69" i="42"/>
  <c r="P68" i="42"/>
  <c r="Q68" i="42" s="1"/>
  <c r="I68" i="42"/>
  <c r="F68" i="42" a="1"/>
  <c r="F68" i="42" s="1"/>
  <c r="C68" i="42"/>
  <c r="D68" i="42" s="1"/>
  <c r="P67" i="42"/>
  <c r="Q67" i="42" s="1"/>
  <c r="I67" i="42"/>
  <c r="F67" i="42"/>
  <c r="F67" i="42" a="1"/>
  <c r="D67" i="42"/>
  <c r="C67" i="42"/>
  <c r="Q66" i="42"/>
  <c r="P66" i="42"/>
  <c r="I66" i="42"/>
  <c r="F66" i="42" a="1"/>
  <c r="F66" i="42" s="1"/>
  <c r="C66" i="42"/>
  <c r="D66" i="42" s="1"/>
  <c r="P65" i="42"/>
  <c r="Q65" i="42" s="1"/>
  <c r="I65" i="42"/>
  <c r="D65" i="42"/>
  <c r="C65" i="42"/>
  <c r="F65" i="42" s="1" a="1"/>
  <c r="F65" i="42" s="1"/>
  <c r="Q64" i="42"/>
  <c r="P64" i="42"/>
  <c r="I64" i="42"/>
  <c r="C64" i="42"/>
  <c r="F64" i="42" s="1" a="1"/>
  <c r="F64" i="42" s="1"/>
  <c r="P63" i="42"/>
  <c r="Q63" i="42" s="1"/>
  <c r="I63" i="42"/>
  <c r="C63" i="42"/>
  <c r="F63" i="42" s="1" a="1"/>
  <c r="F63" i="42" s="1"/>
  <c r="Q62" i="42"/>
  <c r="P62" i="42"/>
  <c r="I62" i="42"/>
  <c r="F62" i="42" a="1"/>
  <c r="F62" i="42" s="1"/>
  <c r="C62" i="42"/>
  <c r="D62" i="42" s="1"/>
  <c r="P61" i="42"/>
  <c r="Q61" i="42" s="1"/>
  <c r="I61" i="42"/>
  <c r="F61" i="42"/>
  <c r="F61" i="42" a="1"/>
  <c r="D61" i="42"/>
  <c r="C61" i="42"/>
  <c r="P60" i="42"/>
  <c r="Q60" i="42" s="1"/>
  <c r="I60" i="42"/>
  <c r="F60" i="42" a="1"/>
  <c r="F60" i="42" s="1"/>
  <c r="C60" i="42"/>
  <c r="D60" i="42" s="1"/>
  <c r="P59" i="42"/>
  <c r="Q59" i="42" s="1"/>
  <c r="I59" i="42"/>
  <c r="F59" i="42"/>
  <c r="F59" i="42" a="1"/>
  <c r="D59" i="42"/>
  <c r="C59" i="42"/>
  <c r="Q58" i="42"/>
  <c r="P58" i="42"/>
  <c r="I58" i="42"/>
  <c r="F58" i="42" a="1"/>
  <c r="F58" i="42" s="1"/>
  <c r="C58" i="42"/>
  <c r="D58" i="42" s="1"/>
  <c r="P57" i="42"/>
  <c r="Q57" i="42" s="1"/>
  <c r="I57" i="42"/>
  <c r="D57" i="42"/>
  <c r="C57" i="42"/>
  <c r="F57" i="42" s="1" a="1"/>
  <c r="F57" i="42" s="1"/>
  <c r="Q56" i="42"/>
  <c r="P56" i="42"/>
  <c r="I56" i="42"/>
  <c r="C56" i="42"/>
  <c r="F56" i="42" s="1" a="1"/>
  <c r="F56" i="42" s="1"/>
  <c r="P55" i="42"/>
  <c r="Q55" i="42" s="1"/>
  <c r="I55" i="42"/>
  <c r="C55" i="42"/>
  <c r="F55" i="42" s="1" a="1"/>
  <c r="F55" i="42" s="1"/>
  <c r="Q54" i="42"/>
  <c r="P54" i="42"/>
  <c r="I54" i="42"/>
  <c r="F54" i="42" a="1"/>
  <c r="F54" i="42" s="1"/>
  <c r="C54" i="42"/>
  <c r="D54" i="42" s="1"/>
  <c r="P53" i="42"/>
  <c r="Q53" i="42" s="1"/>
  <c r="I53" i="42"/>
  <c r="F53" i="42"/>
  <c r="F53" i="42" a="1"/>
  <c r="D53" i="42"/>
  <c r="C53" i="42"/>
  <c r="P52" i="42"/>
  <c r="Q52" i="42" s="1"/>
  <c r="I52" i="42"/>
  <c r="F52" i="42" a="1"/>
  <c r="F52" i="42" s="1"/>
  <c r="C52" i="42"/>
  <c r="D52" i="42" s="1"/>
  <c r="P51" i="42"/>
  <c r="Q51" i="42" s="1"/>
  <c r="I51" i="42"/>
  <c r="F51" i="42"/>
  <c r="F51" i="42" a="1"/>
  <c r="D51" i="42"/>
  <c r="C51" i="42"/>
  <c r="Q50" i="42"/>
  <c r="P50" i="42"/>
  <c r="I50" i="42"/>
  <c r="C50" i="42"/>
  <c r="F50" i="42" s="1" a="1"/>
  <c r="F50" i="42" s="1"/>
  <c r="P49" i="42"/>
  <c r="Q49" i="42" s="1"/>
  <c r="I49" i="42"/>
  <c r="D49" i="42"/>
  <c r="C49" i="42"/>
  <c r="F49" i="42" s="1" a="1"/>
  <c r="F49" i="42" s="1"/>
  <c r="Q48" i="42"/>
  <c r="P48" i="42"/>
  <c r="I48" i="42"/>
  <c r="C48" i="42"/>
  <c r="F48" i="42" s="1" a="1"/>
  <c r="F48" i="42" s="1"/>
  <c r="P47" i="42"/>
  <c r="Q47" i="42" s="1"/>
  <c r="I47" i="42"/>
  <c r="C47" i="42"/>
  <c r="F47" i="42" s="1" a="1"/>
  <c r="F47" i="42" s="1"/>
  <c r="Q46" i="42"/>
  <c r="P46" i="42"/>
  <c r="I46" i="42"/>
  <c r="F46" i="42" a="1"/>
  <c r="F46" i="42" s="1"/>
  <c r="C46" i="42"/>
  <c r="D46" i="42" s="1"/>
  <c r="P45" i="42"/>
  <c r="Q45" i="42" s="1"/>
  <c r="I45" i="42"/>
  <c r="F45" i="42"/>
  <c r="F45" i="42" a="1"/>
  <c r="D45" i="42"/>
  <c r="C45" i="42"/>
  <c r="Q44" i="42"/>
  <c r="P44" i="42"/>
  <c r="I44" i="42"/>
  <c r="F44" i="42" a="1"/>
  <c r="F44" i="42" s="1"/>
  <c r="C44" i="42"/>
  <c r="D44" i="42" s="1"/>
  <c r="P43" i="42"/>
  <c r="Q43" i="42" s="1"/>
  <c r="I43" i="42"/>
  <c r="F43" i="42"/>
  <c r="F43" i="42" a="1"/>
  <c r="D43" i="42"/>
  <c r="C43" i="42"/>
  <c r="Q42" i="42"/>
  <c r="P42" i="42"/>
  <c r="I42" i="42"/>
  <c r="C42" i="42"/>
  <c r="F42" i="42" s="1" a="1"/>
  <c r="F42" i="42" s="1"/>
  <c r="P41" i="42"/>
  <c r="Q41" i="42" s="1"/>
  <c r="I41" i="42"/>
  <c r="D41" i="42"/>
  <c r="C41" i="42"/>
  <c r="F41" i="42" s="1" a="1"/>
  <c r="F41" i="42" s="1"/>
  <c r="Q40" i="42"/>
  <c r="P40" i="42"/>
  <c r="I40" i="42"/>
  <c r="C40" i="42"/>
  <c r="F40" i="42" s="1" a="1"/>
  <c r="F40" i="42" s="1"/>
  <c r="P39" i="42"/>
  <c r="Q39" i="42" s="1"/>
  <c r="I39" i="42"/>
  <c r="D39" i="42"/>
  <c r="C39" i="42"/>
  <c r="F39" i="42" s="1" a="1"/>
  <c r="F39" i="42" s="1"/>
  <c r="Q38" i="42"/>
  <c r="P38" i="42"/>
  <c r="I38" i="42"/>
  <c r="F38" i="42" a="1"/>
  <c r="F38" i="42" s="1"/>
  <c r="C38" i="42"/>
  <c r="D38" i="42" s="1"/>
  <c r="P37" i="42"/>
  <c r="Q37" i="42" s="1"/>
  <c r="I37" i="42"/>
  <c r="F37" i="42"/>
  <c r="F37" i="42" a="1"/>
  <c r="D37" i="42"/>
  <c r="C37" i="42"/>
  <c r="Q36" i="42"/>
  <c r="P36" i="42"/>
  <c r="I36" i="42"/>
  <c r="F36" i="42" a="1"/>
  <c r="F36" i="42" s="1"/>
  <c r="C36" i="42"/>
  <c r="D36" i="42" s="1"/>
  <c r="P35" i="42"/>
  <c r="Q35" i="42" s="1"/>
  <c r="I35" i="42"/>
  <c r="F35" i="42"/>
  <c r="F35" i="42" a="1"/>
  <c r="D35" i="42"/>
  <c r="C35" i="42"/>
  <c r="Q34" i="42"/>
  <c r="P34" i="42"/>
  <c r="I34" i="42"/>
  <c r="C34" i="42"/>
  <c r="F34" i="42" s="1" a="1"/>
  <c r="F34" i="42" s="1"/>
  <c r="P33" i="42"/>
  <c r="Q33" i="42" s="1"/>
  <c r="I33" i="42"/>
  <c r="D33" i="42"/>
  <c r="C33" i="42"/>
  <c r="F33" i="42" s="1" a="1"/>
  <c r="F33" i="42" s="1"/>
  <c r="Q32" i="42"/>
  <c r="P32" i="42"/>
  <c r="I32" i="42"/>
  <c r="C32" i="42"/>
  <c r="F32" i="42" s="1" a="1"/>
  <c r="F32" i="42" s="1"/>
  <c r="P31" i="42"/>
  <c r="Q31" i="42" s="1"/>
  <c r="I31" i="42"/>
  <c r="D31" i="42"/>
  <c r="C31" i="42"/>
  <c r="F31" i="42" s="1" a="1"/>
  <c r="F31" i="42" s="1"/>
  <c r="Q30" i="42"/>
  <c r="P30" i="42"/>
  <c r="I30" i="42"/>
  <c r="F30" i="42" a="1"/>
  <c r="F30" i="42" s="1"/>
  <c r="C30" i="42"/>
  <c r="D30" i="42" s="1"/>
  <c r="P29" i="42"/>
  <c r="Q29" i="42" s="1"/>
  <c r="I29" i="42"/>
  <c r="F29" i="42"/>
  <c r="F29" i="42" a="1"/>
  <c r="D29" i="42"/>
  <c r="C29" i="42"/>
  <c r="Q28" i="42"/>
  <c r="P28" i="42"/>
  <c r="I28" i="42"/>
  <c r="F28" i="42" a="1"/>
  <c r="F28" i="42" s="1"/>
  <c r="C28" i="42"/>
  <c r="D28" i="42" s="1"/>
  <c r="P27" i="42"/>
  <c r="Q27" i="42" s="1"/>
  <c r="I27" i="42"/>
  <c r="F27" i="42" a="1"/>
  <c r="F27" i="42" s="1"/>
  <c r="D27" i="42"/>
  <c r="C27" i="42"/>
  <c r="Q26" i="42"/>
  <c r="P26" i="42"/>
  <c r="I26" i="42"/>
  <c r="C26" i="42"/>
  <c r="F26" i="42" s="1" a="1"/>
  <c r="F26" i="42" s="1"/>
  <c r="P25" i="42"/>
  <c r="Q25" i="42" s="1"/>
  <c r="I25" i="42"/>
  <c r="C25" i="42"/>
  <c r="D25" i="42" s="1"/>
  <c r="Q24" i="42"/>
  <c r="P24" i="42"/>
  <c r="I24" i="42"/>
  <c r="C24" i="42"/>
  <c r="F24" i="42" s="1" a="1"/>
  <c r="F24" i="42" s="1"/>
  <c r="P23" i="42"/>
  <c r="Q23" i="42" s="1"/>
  <c r="I23" i="42"/>
  <c r="D23" i="42"/>
  <c r="C23" i="42"/>
  <c r="F23" i="42" s="1" a="1"/>
  <c r="F23" i="42" s="1"/>
  <c r="P22" i="42"/>
  <c r="Q22" i="42" s="1"/>
  <c r="I22" i="42"/>
  <c r="F22" i="42" a="1"/>
  <c r="F22" i="42" s="1"/>
  <c r="C22" i="42"/>
  <c r="D22" i="42" s="1"/>
  <c r="P21" i="42"/>
  <c r="Q21" i="42" s="1"/>
  <c r="I21" i="42"/>
  <c r="F21" i="42"/>
  <c r="F21" i="42" a="1"/>
  <c r="D21" i="42"/>
  <c r="C21" i="42"/>
  <c r="Q20" i="42"/>
  <c r="P20" i="42"/>
  <c r="I20" i="42"/>
  <c r="C20" i="42"/>
  <c r="F20" i="42" s="1" a="1"/>
  <c r="F20" i="42" s="1"/>
  <c r="P19" i="42"/>
  <c r="Q19" i="42" s="1"/>
  <c r="I19" i="42"/>
  <c r="F19" i="42" a="1"/>
  <c r="F19" i="42" s="1"/>
  <c r="D19" i="42"/>
  <c r="C19" i="42"/>
  <c r="Q18" i="42"/>
  <c r="P18" i="42"/>
  <c r="I18" i="42"/>
  <c r="C18" i="42"/>
  <c r="F18" i="42" s="1" a="1"/>
  <c r="F18" i="42" s="1"/>
  <c r="P17" i="42"/>
  <c r="Q17" i="42" s="1"/>
  <c r="I17" i="42"/>
  <c r="C17" i="42"/>
  <c r="D17" i="42" s="1"/>
  <c r="Q16" i="42"/>
  <c r="P16" i="42"/>
  <c r="I16" i="42"/>
  <c r="C16" i="42"/>
  <c r="F16" i="42" s="1" a="1"/>
  <c r="F16" i="42" s="1"/>
  <c r="P15" i="42"/>
  <c r="Q15" i="42" s="1"/>
  <c r="I15" i="42"/>
  <c r="D15" i="42"/>
  <c r="C15" i="42"/>
  <c r="F15" i="42" s="1" a="1"/>
  <c r="F15" i="42" s="1"/>
  <c r="P14" i="42"/>
  <c r="Q14" i="42" s="1"/>
  <c r="I14" i="42"/>
  <c r="F14" i="42" a="1"/>
  <c r="F14" i="42" s="1"/>
  <c r="C14" i="42"/>
  <c r="D14" i="42" s="1"/>
  <c r="P13" i="42"/>
  <c r="Q13" i="42" s="1"/>
  <c r="I13" i="42"/>
  <c r="F13" i="42"/>
  <c r="F13" i="42" a="1"/>
  <c r="D13" i="42"/>
  <c r="C13" i="42"/>
  <c r="Q12" i="42"/>
  <c r="P12" i="42"/>
  <c r="I12" i="42"/>
  <c r="C12" i="42"/>
  <c r="D12" i="42" s="1"/>
  <c r="P11" i="42"/>
  <c r="Q11" i="42" s="1"/>
  <c r="I11" i="42"/>
  <c r="D11" i="42"/>
  <c r="C11" i="42"/>
  <c r="F11" i="42" s="1" a="1"/>
  <c r="F11" i="42" s="1"/>
  <c r="Q10" i="42"/>
  <c r="P10" i="42"/>
  <c r="I10" i="42"/>
  <c r="C10" i="42"/>
  <c r="F10" i="42" s="1" a="1"/>
  <c r="F10" i="42" s="1"/>
  <c r="I9" i="42"/>
  <c r="Q8" i="42"/>
  <c r="P8" i="42"/>
  <c r="I8" i="42"/>
  <c r="P7" i="42"/>
  <c r="Q7" i="42" s="1"/>
  <c r="I7" i="42"/>
  <c r="Q6" i="42"/>
  <c r="P6" i="42"/>
  <c r="I6" i="42"/>
  <c r="E8" i="40"/>
  <c r="E7" i="40"/>
  <c r="P100" i="41"/>
  <c r="Q100" i="41" s="1"/>
  <c r="M100" i="41"/>
  <c r="L100" i="41"/>
  <c r="I100" i="41"/>
  <c r="F100" i="41" a="1"/>
  <c r="F100" i="41" s="1"/>
  <c r="D100" i="41"/>
  <c r="C100" i="41"/>
  <c r="Q99" i="41"/>
  <c r="P99" i="41"/>
  <c r="M99" i="41"/>
  <c r="L99" i="41"/>
  <c r="I99" i="41"/>
  <c r="F99" i="41"/>
  <c r="F99" i="41" a="1"/>
  <c r="C99" i="41"/>
  <c r="D99" i="41" s="1"/>
  <c r="Q98" i="41"/>
  <c r="P98" i="41"/>
  <c r="M98" i="41"/>
  <c r="L98" i="41"/>
  <c r="I98" i="41"/>
  <c r="F98" i="41"/>
  <c r="F98" i="41" a="1"/>
  <c r="D98" i="41"/>
  <c r="C98" i="41"/>
  <c r="P97" i="41"/>
  <c r="Q97" i="41" s="1"/>
  <c r="M97" i="41"/>
  <c r="L97" i="41"/>
  <c r="I97" i="41"/>
  <c r="F97" i="41"/>
  <c r="F97" i="41" a="1"/>
  <c r="D97" i="41"/>
  <c r="C97" i="41"/>
  <c r="Q96" i="41"/>
  <c r="P96" i="41"/>
  <c r="M96" i="41"/>
  <c r="L96" i="41"/>
  <c r="I96" i="41"/>
  <c r="C96" i="41"/>
  <c r="F96" i="41" s="1" a="1"/>
  <c r="F96" i="41" s="1"/>
  <c r="P95" i="41"/>
  <c r="Q95" i="41" s="1"/>
  <c r="M95" i="41"/>
  <c r="L95" i="41"/>
  <c r="I95" i="41"/>
  <c r="D95" i="41"/>
  <c r="C95" i="41"/>
  <c r="F95" i="41" s="1" a="1"/>
  <c r="F95" i="41" s="1"/>
  <c r="Q94" i="41"/>
  <c r="P94" i="41"/>
  <c r="M94" i="41"/>
  <c r="L94" i="41"/>
  <c r="I94" i="41"/>
  <c r="C94" i="41"/>
  <c r="F94" i="41" s="1" a="1"/>
  <c r="F94" i="41" s="1"/>
  <c r="Q93" i="41"/>
  <c r="P93" i="41"/>
  <c r="M93" i="41"/>
  <c r="L93" i="41"/>
  <c r="I93" i="41"/>
  <c r="D93" i="41"/>
  <c r="C93" i="41"/>
  <c r="F93" i="41" s="1" a="1"/>
  <c r="F93" i="41" s="1"/>
  <c r="Q92" i="41"/>
  <c r="P92" i="41"/>
  <c r="M92" i="41"/>
  <c r="L92" i="41"/>
  <c r="I92" i="41"/>
  <c r="F92" i="41" a="1"/>
  <c r="F92" i="41" s="1"/>
  <c r="D92" i="41"/>
  <c r="C92" i="41"/>
  <c r="Q91" i="41"/>
  <c r="P91" i="41"/>
  <c r="M91" i="41"/>
  <c r="L91" i="41"/>
  <c r="I91" i="41"/>
  <c r="F91" i="41"/>
  <c r="F91" i="41" a="1"/>
  <c r="D91" i="41"/>
  <c r="C91" i="41"/>
  <c r="Q90" i="41"/>
  <c r="P90" i="41"/>
  <c r="M90" i="41"/>
  <c r="L90" i="41"/>
  <c r="I90" i="41"/>
  <c r="F90" i="41"/>
  <c r="F90" i="41" a="1"/>
  <c r="D90" i="41"/>
  <c r="C90" i="41"/>
  <c r="P89" i="41"/>
  <c r="Q89" i="41" s="1"/>
  <c r="M89" i="41"/>
  <c r="L89" i="41"/>
  <c r="I89" i="41"/>
  <c r="F89" i="41"/>
  <c r="F89" i="41" a="1"/>
  <c r="D89" i="41"/>
  <c r="C89" i="41"/>
  <c r="Q88" i="41"/>
  <c r="P88" i="41"/>
  <c r="M88" i="41"/>
  <c r="L88" i="41"/>
  <c r="I88" i="41"/>
  <c r="C88" i="41"/>
  <c r="F88" i="41" s="1" a="1"/>
  <c r="F88" i="41" s="1"/>
  <c r="P87" i="41"/>
  <c r="Q87" i="41" s="1"/>
  <c r="M87" i="41"/>
  <c r="L87" i="41"/>
  <c r="I87" i="41"/>
  <c r="D87" i="41"/>
  <c r="C87" i="41"/>
  <c r="F87" i="41" s="1" a="1"/>
  <c r="F87" i="41" s="1"/>
  <c r="Q86" i="41"/>
  <c r="P86" i="41"/>
  <c r="M86" i="41"/>
  <c r="L86" i="41"/>
  <c r="I86" i="41"/>
  <c r="C86" i="41"/>
  <c r="F86" i="41" s="1" a="1"/>
  <c r="F86" i="41" s="1"/>
  <c r="Q85" i="41"/>
  <c r="P85" i="41"/>
  <c r="M85" i="41"/>
  <c r="L85" i="41"/>
  <c r="I85" i="41"/>
  <c r="D85" i="41"/>
  <c r="C85" i="41"/>
  <c r="F85" i="41" s="1" a="1"/>
  <c r="F85" i="41" s="1"/>
  <c r="Q84" i="41"/>
  <c r="P84" i="41"/>
  <c r="M84" i="41"/>
  <c r="L84" i="41"/>
  <c r="I84" i="41"/>
  <c r="F84" i="41" a="1"/>
  <c r="F84" i="41" s="1"/>
  <c r="D84" i="41"/>
  <c r="C84" i="41"/>
  <c r="Q83" i="41"/>
  <c r="P83" i="41"/>
  <c r="M83" i="41"/>
  <c r="L83" i="41"/>
  <c r="I83" i="41"/>
  <c r="F83" i="41"/>
  <c r="F83" i="41" a="1"/>
  <c r="D83" i="41"/>
  <c r="C83" i="41"/>
  <c r="Q82" i="41"/>
  <c r="P82" i="41"/>
  <c r="M82" i="41"/>
  <c r="L82" i="41"/>
  <c r="I82" i="41"/>
  <c r="F82" i="41"/>
  <c r="F82" i="41" a="1"/>
  <c r="D82" i="41"/>
  <c r="C82" i="41"/>
  <c r="P81" i="41"/>
  <c r="Q81" i="41" s="1"/>
  <c r="M81" i="41"/>
  <c r="L81" i="41"/>
  <c r="I81" i="41"/>
  <c r="F81" i="41"/>
  <c r="F81" i="41" a="1"/>
  <c r="D81" i="41"/>
  <c r="C81" i="41"/>
  <c r="Q80" i="41"/>
  <c r="P80" i="41"/>
  <c r="M80" i="41"/>
  <c r="L80" i="41"/>
  <c r="I80" i="41"/>
  <c r="C80" i="41"/>
  <c r="F80" i="41" s="1" a="1"/>
  <c r="F80" i="41" s="1"/>
  <c r="P79" i="41"/>
  <c r="Q79" i="41" s="1"/>
  <c r="M79" i="41"/>
  <c r="L79" i="41"/>
  <c r="I79" i="41"/>
  <c r="D79" i="41"/>
  <c r="C79" i="41"/>
  <c r="F79" i="41" s="1" a="1"/>
  <c r="F79" i="41" s="1"/>
  <c r="Q78" i="41"/>
  <c r="P78" i="41"/>
  <c r="M78" i="41"/>
  <c r="L78" i="41"/>
  <c r="I78" i="41"/>
  <c r="C78" i="41"/>
  <c r="F78" i="41" s="1" a="1"/>
  <c r="F78" i="41" s="1"/>
  <c r="Q77" i="41"/>
  <c r="P77" i="41"/>
  <c r="M77" i="41"/>
  <c r="L77" i="41"/>
  <c r="I77" i="41"/>
  <c r="D77" i="41"/>
  <c r="C77" i="41"/>
  <c r="F77" i="41" s="1" a="1"/>
  <c r="F77" i="41" s="1"/>
  <c r="Q76" i="41"/>
  <c r="P76" i="41"/>
  <c r="M76" i="41"/>
  <c r="L76" i="41"/>
  <c r="I76" i="41"/>
  <c r="F76" i="41" a="1"/>
  <c r="F76" i="41" s="1"/>
  <c r="D76" i="41"/>
  <c r="C76" i="41"/>
  <c r="Q75" i="41"/>
  <c r="P75" i="41"/>
  <c r="M75" i="41"/>
  <c r="L75" i="41"/>
  <c r="I75" i="41"/>
  <c r="F75" i="41"/>
  <c r="F75" i="41" a="1"/>
  <c r="D75" i="41"/>
  <c r="C75" i="41"/>
  <c r="Q74" i="41"/>
  <c r="P74" i="41"/>
  <c r="M74" i="41"/>
  <c r="L74" i="41"/>
  <c r="I74" i="41"/>
  <c r="F74" i="41"/>
  <c r="F74" i="41" a="1"/>
  <c r="D74" i="41"/>
  <c r="C74" i="41"/>
  <c r="P73" i="41"/>
  <c r="Q73" i="41" s="1"/>
  <c r="M73" i="41"/>
  <c r="L73" i="41"/>
  <c r="I73" i="41"/>
  <c r="F73" i="41" a="1"/>
  <c r="F73" i="41" s="1"/>
  <c r="D73" i="41"/>
  <c r="C73" i="41"/>
  <c r="Q72" i="41"/>
  <c r="P72" i="41"/>
  <c r="M72" i="41"/>
  <c r="L72" i="41"/>
  <c r="I72" i="41"/>
  <c r="C72" i="41"/>
  <c r="F72" i="41" s="1" a="1"/>
  <c r="F72" i="41" s="1"/>
  <c r="P71" i="41"/>
  <c r="Q71" i="41" s="1"/>
  <c r="M71" i="41"/>
  <c r="L71" i="41"/>
  <c r="I71" i="41"/>
  <c r="D71" i="41"/>
  <c r="C71" i="41"/>
  <c r="F71" i="41" s="1" a="1"/>
  <c r="F71" i="41" s="1"/>
  <c r="Q70" i="41"/>
  <c r="P70" i="41"/>
  <c r="M70" i="41"/>
  <c r="L70" i="41"/>
  <c r="I70" i="41"/>
  <c r="C70" i="41"/>
  <c r="F70" i="41" s="1" a="1"/>
  <c r="F70" i="41" s="1"/>
  <c r="Q69" i="41"/>
  <c r="P69" i="41"/>
  <c r="M69" i="41"/>
  <c r="L69" i="41"/>
  <c r="I69" i="41"/>
  <c r="D69" i="41"/>
  <c r="C69" i="41"/>
  <c r="F69" i="41" s="1" a="1"/>
  <c r="F69" i="41" s="1"/>
  <c r="P68" i="41"/>
  <c r="Q68" i="41" s="1"/>
  <c r="M68" i="41"/>
  <c r="L68" i="41"/>
  <c r="I68" i="41"/>
  <c r="F68" i="41" a="1"/>
  <c r="F68" i="41" s="1"/>
  <c r="D68" i="41"/>
  <c r="C68" i="41"/>
  <c r="Q67" i="41"/>
  <c r="P67" i="41"/>
  <c r="M67" i="41"/>
  <c r="L67" i="41"/>
  <c r="I67" i="41"/>
  <c r="F67" i="41"/>
  <c r="F67" i="41" a="1"/>
  <c r="C67" i="41"/>
  <c r="D67" i="41" s="1"/>
  <c r="Q66" i="41"/>
  <c r="P66" i="41"/>
  <c r="M66" i="41"/>
  <c r="L66" i="41"/>
  <c r="I66" i="41"/>
  <c r="F66" i="41"/>
  <c r="F66" i="41" a="1"/>
  <c r="D66" i="41"/>
  <c r="C66" i="41"/>
  <c r="P65" i="41"/>
  <c r="Q65" i="41" s="1"/>
  <c r="M65" i="41"/>
  <c r="L65" i="41"/>
  <c r="I65" i="41"/>
  <c r="F65" i="41" a="1"/>
  <c r="F65" i="41" s="1"/>
  <c r="D65" i="41"/>
  <c r="C65" i="41"/>
  <c r="Q64" i="41"/>
  <c r="P64" i="41"/>
  <c r="M64" i="41"/>
  <c r="L64" i="41"/>
  <c r="I64" i="41"/>
  <c r="C64" i="41"/>
  <c r="F64" i="41" s="1" a="1"/>
  <c r="F64" i="41" s="1"/>
  <c r="P63" i="41"/>
  <c r="Q63" i="41" s="1"/>
  <c r="M63" i="41"/>
  <c r="L63" i="41"/>
  <c r="I63" i="41"/>
  <c r="D63" i="41"/>
  <c r="C63" i="41"/>
  <c r="F63" i="41" s="1" a="1"/>
  <c r="F63" i="41" s="1"/>
  <c r="Q62" i="41"/>
  <c r="P62" i="41"/>
  <c r="M62" i="41"/>
  <c r="L62" i="41"/>
  <c r="I62" i="41"/>
  <c r="C62" i="41"/>
  <c r="F62" i="41" s="1" a="1"/>
  <c r="F62" i="41" s="1"/>
  <c r="Q61" i="41"/>
  <c r="P61" i="41"/>
  <c r="M61" i="41"/>
  <c r="L61" i="41"/>
  <c r="I61" i="41"/>
  <c r="D61" i="41"/>
  <c r="C61" i="41"/>
  <c r="F61" i="41" s="1" a="1"/>
  <c r="F61" i="41" s="1"/>
  <c r="P60" i="41"/>
  <c r="Q60" i="41" s="1"/>
  <c r="M60" i="41"/>
  <c r="L60" i="41"/>
  <c r="I60" i="41"/>
  <c r="F60" i="41" a="1"/>
  <c r="F60" i="41" s="1"/>
  <c r="D60" i="41"/>
  <c r="C60" i="41"/>
  <c r="Q59" i="41"/>
  <c r="P59" i="41"/>
  <c r="M59" i="41"/>
  <c r="L59" i="41"/>
  <c r="I59" i="41"/>
  <c r="F59" i="41"/>
  <c r="F59" i="41" a="1"/>
  <c r="C59" i="41"/>
  <c r="D59" i="41" s="1"/>
  <c r="Q58" i="41"/>
  <c r="P58" i="41"/>
  <c r="M58" i="41"/>
  <c r="L58" i="41"/>
  <c r="I58" i="41"/>
  <c r="F58" i="41"/>
  <c r="F58" i="41" a="1"/>
  <c r="D58" i="41"/>
  <c r="C58" i="41"/>
  <c r="P57" i="41"/>
  <c r="Q57" i="41" s="1"/>
  <c r="M57" i="41"/>
  <c r="L57" i="41"/>
  <c r="I57" i="41"/>
  <c r="F57" i="41" a="1"/>
  <c r="F57" i="41" s="1"/>
  <c r="D57" i="41"/>
  <c r="C57" i="41"/>
  <c r="Q56" i="41"/>
  <c r="P56" i="41"/>
  <c r="M56" i="41"/>
  <c r="L56" i="41"/>
  <c r="I56" i="41"/>
  <c r="C56" i="41"/>
  <c r="F56" i="41" s="1" a="1"/>
  <c r="F56" i="41" s="1"/>
  <c r="P55" i="41"/>
  <c r="Q55" i="41" s="1"/>
  <c r="M55" i="41"/>
  <c r="L55" i="41"/>
  <c r="I55" i="41"/>
  <c r="D55" i="41"/>
  <c r="C55" i="41"/>
  <c r="F55" i="41" s="1" a="1"/>
  <c r="F55" i="41" s="1"/>
  <c r="Q54" i="41"/>
  <c r="P54" i="41"/>
  <c r="M54" i="41"/>
  <c r="L54" i="41"/>
  <c r="I54" i="41"/>
  <c r="C54" i="41"/>
  <c r="F54" i="41" s="1" a="1"/>
  <c r="F54" i="41" s="1"/>
  <c r="Q53" i="41"/>
  <c r="P53" i="41"/>
  <c r="M53" i="41"/>
  <c r="L53" i="41"/>
  <c r="I53" i="41"/>
  <c r="D53" i="41"/>
  <c r="C53" i="41"/>
  <c r="F53" i="41" s="1" a="1"/>
  <c r="F53" i="41" s="1"/>
  <c r="P52" i="41"/>
  <c r="Q52" i="41" s="1"/>
  <c r="M52" i="41"/>
  <c r="L52" i="41"/>
  <c r="I52" i="41"/>
  <c r="F52" i="41" a="1"/>
  <c r="F52" i="41" s="1"/>
  <c r="D52" i="41"/>
  <c r="C52" i="41"/>
  <c r="Q51" i="41"/>
  <c r="P51" i="41"/>
  <c r="M51" i="41"/>
  <c r="L51" i="41"/>
  <c r="I51" i="41"/>
  <c r="F51" i="41"/>
  <c r="F51" i="41" a="1"/>
  <c r="C51" i="41"/>
  <c r="D51" i="41" s="1"/>
  <c r="Q50" i="41"/>
  <c r="P50" i="41"/>
  <c r="M50" i="41"/>
  <c r="L50" i="41"/>
  <c r="I50" i="41"/>
  <c r="F50" i="41"/>
  <c r="F50" i="41" a="1"/>
  <c r="D50" i="41"/>
  <c r="C50" i="41"/>
  <c r="P49" i="41"/>
  <c r="Q49" i="41" s="1"/>
  <c r="M49" i="41"/>
  <c r="L49" i="41"/>
  <c r="I49" i="41"/>
  <c r="F49" i="41" a="1"/>
  <c r="F49" i="41" s="1"/>
  <c r="D49" i="41"/>
  <c r="C49" i="41"/>
  <c r="Q48" i="41"/>
  <c r="P48" i="41"/>
  <c r="M48" i="41"/>
  <c r="L48" i="41"/>
  <c r="I48" i="41"/>
  <c r="C48" i="41"/>
  <c r="F48" i="41" s="1" a="1"/>
  <c r="F48" i="41" s="1"/>
  <c r="P47" i="41"/>
  <c r="Q47" i="41" s="1"/>
  <c r="M47" i="41"/>
  <c r="L47" i="41"/>
  <c r="I47" i="41"/>
  <c r="D47" i="41"/>
  <c r="C47" i="41"/>
  <c r="F47" i="41" s="1" a="1"/>
  <c r="F47" i="41" s="1"/>
  <c r="Q46" i="41"/>
  <c r="P46" i="41"/>
  <c r="M46" i="41"/>
  <c r="L46" i="41"/>
  <c r="I46" i="41"/>
  <c r="C46" i="41"/>
  <c r="F46" i="41" s="1" a="1"/>
  <c r="F46" i="41" s="1"/>
  <c r="Q45" i="41"/>
  <c r="P45" i="41"/>
  <c r="M45" i="41"/>
  <c r="L45" i="41"/>
  <c r="I45" i="41"/>
  <c r="D45" i="41"/>
  <c r="C45" i="41"/>
  <c r="F45" i="41" s="1" a="1"/>
  <c r="F45" i="41" s="1"/>
  <c r="P44" i="41"/>
  <c r="Q44" i="41" s="1"/>
  <c r="M44" i="41"/>
  <c r="L44" i="41"/>
  <c r="I44" i="41"/>
  <c r="F44" i="41" a="1"/>
  <c r="F44" i="41" s="1"/>
  <c r="D44" i="41"/>
  <c r="C44" i="41"/>
  <c r="Q43" i="41"/>
  <c r="P43" i="41"/>
  <c r="M43" i="41"/>
  <c r="L43" i="41"/>
  <c r="I43" i="41"/>
  <c r="F43" i="41"/>
  <c r="F43" i="41" a="1"/>
  <c r="C43" i="41"/>
  <c r="D43" i="41" s="1"/>
  <c r="Q42" i="41"/>
  <c r="P42" i="41"/>
  <c r="M42" i="41"/>
  <c r="L42" i="41"/>
  <c r="I42" i="41"/>
  <c r="F42" i="41"/>
  <c r="F42" i="41" a="1"/>
  <c r="D42" i="41"/>
  <c r="C42" i="41"/>
  <c r="P41" i="41"/>
  <c r="Q41" i="41" s="1"/>
  <c r="M41" i="41"/>
  <c r="L41" i="41"/>
  <c r="I41" i="41"/>
  <c r="F41" i="41" a="1"/>
  <c r="F41" i="41" s="1"/>
  <c r="D41" i="41"/>
  <c r="C41" i="41"/>
  <c r="Q40" i="41"/>
  <c r="P40" i="41"/>
  <c r="M40" i="41"/>
  <c r="L40" i="41"/>
  <c r="I40" i="41"/>
  <c r="C40" i="41"/>
  <c r="F40" i="41" s="1" a="1"/>
  <c r="F40" i="41" s="1"/>
  <c r="P39" i="41"/>
  <c r="Q39" i="41" s="1"/>
  <c r="M39" i="41"/>
  <c r="L39" i="41"/>
  <c r="I39" i="41"/>
  <c r="D39" i="41"/>
  <c r="C39" i="41"/>
  <c r="F39" i="41" s="1" a="1"/>
  <c r="F39" i="41" s="1"/>
  <c r="Q38" i="41"/>
  <c r="P38" i="41"/>
  <c r="M38" i="41"/>
  <c r="L38" i="41"/>
  <c r="I38" i="41"/>
  <c r="C38" i="41"/>
  <c r="F38" i="41" s="1" a="1"/>
  <c r="F38" i="41" s="1"/>
  <c r="Q37" i="41"/>
  <c r="P37" i="41"/>
  <c r="M37" i="41"/>
  <c r="L37" i="41"/>
  <c r="I37" i="41"/>
  <c r="C37" i="41"/>
  <c r="D37" i="41" s="1"/>
  <c r="P36" i="41"/>
  <c r="Q36" i="41" s="1"/>
  <c r="M36" i="41"/>
  <c r="L36" i="41"/>
  <c r="I36" i="41"/>
  <c r="F36" i="41" a="1"/>
  <c r="F36" i="41" s="1"/>
  <c r="D36" i="41"/>
  <c r="C36" i="41"/>
  <c r="Q35" i="41"/>
  <c r="P35" i="41"/>
  <c r="M35" i="41"/>
  <c r="L35" i="41"/>
  <c r="I35" i="41"/>
  <c r="F35" i="41" a="1"/>
  <c r="F35" i="41" s="1"/>
  <c r="C35" i="41"/>
  <c r="D35" i="41" s="1"/>
  <c r="Q34" i="41"/>
  <c r="P34" i="41"/>
  <c r="M34" i="41"/>
  <c r="L34" i="41"/>
  <c r="I34" i="41"/>
  <c r="F34" i="41"/>
  <c r="F34" i="41" a="1"/>
  <c r="D34" i="41"/>
  <c r="C34" i="41"/>
  <c r="P33" i="41"/>
  <c r="Q33" i="41" s="1"/>
  <c r="M33" i="41"/>
  <c r="L33" i="41"/>
  <c r="I33" i="41"/>
  <c r="F33" i="41" a="1"/>
  <c r="F33" i="41" s="1"/>
  <c r="D33" i="41"/>
  <c r="C33" i="41"/>
  <c r="Q32" i="41"/>
  <c r="P32" i="41"/>
  <c r="M32" i="41"/>
  <c r="L32" i="41"/>
  <c r="I32" i="41"/>
  <c r="C32" i="41"/>
  <c r="F32" i="41" s="1" a="1"/>
  <c r="F32" i="41" s="1"/>
  <c r="P31" i="41"/>
  <c r="Q31" i="41" s="1"/>
  <c r="M31" i="41"/>
  <c r="L31" i="41"/>
  <c r="I31" i="41"/>
  <c r="D31" i="41"/>
  <c r="C31" i="41"/>
  <c r="F31" i="41" s="1" a="1"/>
  <c r="F31" i="41" s="1"/>
  <c r="P30" i="41"/>
  <c r="Q30" i="41" s="1"/>
  <c r="M30" i="41"/>
  <c r="L30" i="41"/>
  <c r="I30" i="41"/>
  <c r="C30" i="41"/>
  <c r="F30" i="41" s="1" a="1"/>
  <c r="F30" i="41" s="1"/>
  <c r="Q29" i="41"/>
  <c r="P29" i="41"/>
  <c r="M29" i="41"/>
  <c r="L29" i="41"/>
  <c r="I29" i="41"/>
  <c r="C29" i="41"/>
  <c r="D29" i="41" s="1"/>
  <c r="P28" i="41"/>
  <c r="Q28" i="41" s="1"/>
  <c r="M28" i="41"/>
  <c r="L28" i="41"/>
  <c r="I28" i="41"/>
  <c r="F28" i="41" a="1"/>
  <c r="F28" i="41" s="1"/>
  <c r="D28" i="41"/>
  <c r="C28" i="41"/>
  <c r="M27" i="41"/>
  <c r="L27" i="41"/>
  <c r="D27" i="41"/>
  <c r="M26" i="41"/>
  <c r="L26" i="41"/>
  <c r="D26" i="41"/>
  <c r="M25" i="41"/>
  <c r="L25" i="41"/>
  <c r="D25" i="41"/>
  <c r="M24" i="41"/>
  <c r="L24" i="41"/>
  <c r="D24" i="41"/>
  <c r="M23" i="41"/>
  <c r="L23" i="41"/>
  <c r="D23" i="41"/>
  <c r="M22" i="41"/>
  <c r="L22" i="41"/>
  <c r="D22" i="41"/>
  <c r="M21" i="41"/>
  <c r="L21" i="41"/>
  <c r="D21" i="41"/>
  <c r="M20" i="41"/>
  <c r="L20" i="41"/>
  <c r="D20" i="41"/>
  <c r="M19" i="41"/>
  <c r="L19" i="41"/>
  <c r="D19" i="41"/>
  <c r="M18" i="41"/>
  <c r="L18" i="41"/>
  <c r="D18" i="41"/>
  <c r="M17" i="41"/>
  <c r="L17" i="41"/>
  <c r="D17" i="41"/>
  <c r="M16" i="41"/>
  <c r="L16" i="41"/>
  <c r="D16" i="41"/>
  <c r="M15" i="41"/>
  <c r="L15" i="41"/>
  <c r="D15" i="41"/>
  <c r="M14" i="41"/>
  <c r="L14" i="41"/>
  <c r="D14" i="41"/>
  <c r="M13" i="41"/>
  <c r="L13" i="41"/>
  <c r="D13" i="41"/>
  <c r="M12" i="41"/>
  <c r="L12" i="41"/>
  <c r="D12" i="41"/>
  <c r="M11" i="41"/>
  <c r="L11" i="41"/>
  <c r="D11" i="41"/>
  <c r="M10" i="41"/>
  <c r="L10" i="41"/>
  <c r="D10" i="41"/>
  <c r="M9" i="41"/>
  <c r="L9" i="41"/>
  <c r="D9" i="41"/>
  <c r="M8" i="41"/>
  <c r="L8" i="41"/>
  <c r="D8" i="41"/>
  <c r="M7" i="41"/>
  <c r="L7" i="41"/>
  <c r="D7" i="41"/>
  <c r="M6" i="41"/>
  <c r="L6" i="41"/>
  <c r="D6" i="41"/>
  <c r="P100" i="40"/>
  <c r="Q100" i="40" s="1"/>
  <c r="M100" i="40"/>
  <c r="L100" i="40"/>
  <c r="I100" i="40"/>
  <c r="C100" i="40"/>
  <c r="F100" i="40" s="1" a="1"/>
  <c r="F100" i="40" s="1"/>
  <c r="P99" i="40"/>
  <c r="Q99" i="40" s="1"/>
  <c r="M99" i="40"/>
  <c r="L99" i="40"/>
  <c r="I99" i="40"/>
  <c r="D99" i="40"/>
  <c r="C99" i="40"/>
  <c r="F99" i="40" s="1" a="1"/>
  <c r="F99" i="40" s="1"/>
  <c r="P98" i="40"/>
  <c r="Q98" i="40" s="1"/>
  <c r="M98" i="40"/>
  <c r="L98" i="40"/>
  <c r="I98" i="40"/>
  <c r="F98" i="40" a="1"/>
  <c r="F98" i="40" s="1"/>
  <c r="C98" i="40"/>
  <c r="D98" i="40" s="1"/>
  <c r="Q97" i="40"/>
  <c r="P97" i="40"/>
  <c r="M97" i="40"/>
  <c r="L97" i="40"/>
  <c r="I97" i="40"/>
  <c r="C97" i="40"/>
  <c r="F97" i="40" s="1" a="1"/>
  <c r="F97" i="40" s="1"/>
  <c r="Q96" i="40"/>
  <c r="P96" i="40"/>
  <c r="M96" i="40"/>
  <c r="L96" i="40"/>
  <c r="I96" i="40"/>
  <c r="F96" i="40" a="1"/>
  <c r="F96" i="40" s="1"/>
  <c r="D96" i="40"/>
  <c r="C96" i="40"/>
  <c r="P95" i="40"/>
  <c r="Q95" i="40" s="1"/>
  <c r="M95" i="40"/>
  <c r="L95" i="40"/>
  <c r="I95" i="40"/>
  <c r="F95" i="40" a="1"/>
  <c r="F95" i="40" s="1"/>
  <c r="D95" i="40"/>
  <c r="C95" i="40"/>
  <c r="Q94" i="40"/>
  <c r="P94" i="40"/>
  <c r="M94" i="40"/>
  <c r="L94" i="40"/>
  <c r="I94" i="40"/>
  <c r="F94" i="40"/>
  <c r="F94" i="40" a="1"/>
  <c r="C94" i="40"/>
  <c r="D94" i="40" s="1"/>
  <c r="P93" i="40"/>
  <c r="Q93" i="40" s="1"/>
  <c r="M93" i="40"/>
  <c r="L93" i="40"/>
  <c r="I93" i="40"/>
  <c r="D93" i="40"/>
  <c r="C93" i="40"/>
  <c r="F93" i="40" s="1" a="1"/>
  <c r="F93" i="40" s="1"/>
  <c r="Q92" i="40"/>
  <c r="P92" i="40"/>
  <c r="M92" i="40"/>
  <c r="L92" i="40"/>
  <c r="I92" i="40"/>
  <c r="C92" i="40"/>
  <c r="F92" i="40" s="1" a="1"/>
  <c r="F92" i="40" s="1"/>
  <c r="P91" i="40"/>
  <c r="Q91" i="40" s="1"/>
  <c r="M91" i="40"/>
  <c r="L91" i="40"/>
  <c r="I91" i="40"/>
  <c r="D91" i="40"/>
  <c r="C91" i="40"/>
  <c r="F91" i="40" s="1" a="1"/>
  <c r="F91" i="40" s="1"/>
  <c r="Q90" i="40"/>
  <c r="P90" i="40"/>
  <c r="M90" i="40"/>
  <c r="L90" i="40"/>
  <c r="I90" i="40"/>
  <c r="F90" i="40" a="1"/>
  <c r="F90" i="40" s="1"/>
  <c r="C90" i="40"/>
  <c r="D90" i="40" s="1"/>
  <c r="Q89" i="40"/>
  <c r="P89" i="40"/>
  <c r="M89" i="40"/>
  <c r="L89" i="40"/>
  <c r="I89" i="40"/>
  <c r="D89" i="40"/>
  <c r="C89" i="40"/>
  <c r="F89" i="40" s="1" a="1"/>
  <c r="F89" i="40" s="1"/>
  <c r="Q88" i="40"/>
  <c r="P88" i="40"/>
  <c r="M88" i="40"/>
  <c r="L88" i="40"/>
  <c r="I88" i="40"/>
  <c r="F88" i="40" a="1"/>
  <c r="F88" i="40" s="1"/>
  <c r="D88" i="40"/>
  <c r="C88" i="40"/>
  <c r="P87" i="40"/>
  <c r="Q87" i="40" s="1"/>
  <c r="M87" i="40"/>
  <c r="L87" i="40"/>
  <c r="I87" i="40"/>
  <c r="F87" i="40"/>
  <c r="F87" i="40" a="1"/>
  <c r="D87" i="40"/>
  <c r="C87" i="40"/>
  <c r="Q86" i="40"/>
  <c r="P86" i="40"/>
  <c r="M86" i="40"/>
  <c r="L86" i="40"/>
  <c r="I86" i="40"/>
  <c r="F86" i="40"/>
  <c r="F86" i="40" a="1"/>
  <c r="C86" i="40"/>
  <c r="D86" i="40" s="1"/>
  <c r="P85" i="40"/>
  <c r="Q85" i="40" s="1"/>
  <c r="M85" i="40"/>
  <c r="L85" i="40"/>
  <c r="I85" i="40"/>
  <c r="D85" i="40"/>
  <c r="C85" i="40"/>
  <c r="F85" i="40" s="1" a="1"/>
  <c r="F85" i="40" s="1"/>
  <c r="Q84" i="40"/>
  <c r="P84" i="40"/>
  <c r="M84" i="40"/>
  <c r="L84" i="40"/>
  <c r="I84" i="40"/>
  <c r="C84" i="40"/>
  <c r="F84" i="40" s="1" a="1"/>
  <c r="F84" i="40" s="1"/>
  <c r="P83" i="40"/>
  <c r="Q83" i="40" s="1"/>
  <c r="M83" i="40"/>
  <c r="L83" i="40"/>
  <c r="I83" i="40"/>
  <c r="D83" i="40"/>
  <c r="C83" i="40"/>
  <c r="F83" i="40" s="1" a="1"/>
  <c r="F83" i="40" s="1"/>
  <c r="P82" i="40"/>
  <c r="Q82" i="40" s="1"/>
  <c r="M82" i="40"/>
  <c r="L82" i="40"/>
  <c r="I82" i="40"/>
  <c r="F82" i="40" a="1"/>
  <c r="F82" i="40" s="1"/>
  <c r="C82" i="40"/>
  <c r="D82" i="40" s="1"/>
  <c r="Q81" i="40"/>
  <c r="P81" i="40"/>
  <c r="M81" i="40"/>
  <c r="L81" i="40"/>
  <c r="I81" i="40"/>
  <c r="C81" i="40"/>
  <c r="F81" i="40" s="1" a="1"/>
  <c r="F81" i="40" s="1"/>
  <c r="Q80" i="40"/>
  <c r="P80" i="40"/>
  <c r="M80" i="40"/>
  <c r="L80" i="40"/>
  <c r="I80" i="40"/>
  <c r="C80" i="40"/>
  <c r="F80" i="40" s="1" a="1"/>
  <c r="F80" i="40" s="1"/>
  <c r="P79" i="40"/>
  <c r="Q79" i="40" s="1"/>
  <c r="M79" i="40"/>
  <c r="L79" i="40"/>
  <c r="I79" i="40"/>
  <c r="F79" i="40" a="1"/>
  <c r="F79" i="40" s="1"/>
  <c r="D79" i="40"/>
  <c r="C79" i="40"/>
  <c r="Q78" i="40"/>
  <c r="P78" i="40"/>
  <c r="M78" i="40"/>
  <c r="L78" i="40"/>
  <c r="I78" i="40"/>
  <c r="F78" i="40"/>
  <c r="F78" i="40" a="1"/>
  <c r="C78" i="40"/>
  <c r="D78" i="40" s="1"/>
  <c r="P77" i="40"/>
  <c r="Q77" i="40" s="1"/>
  <c r="M77" i="40"/>
  <c r="L77" i="40"/>
  <c r="I77" i="40"/>
  <c r="D77" i="40"/>
  <c r="C77" i="40"/>
  <c r="F77" i="40" s="1" a="1"/>
  <c r="F77" i="40" s="1"/>
  <c r="Q76" i="40"/>
  <c r="P76" i="40"/>
  <c r="M76" i="40"/>
  <c r="L76" i="40"/>
  <c r="I76" i="40"/>
  <c r="C76" i="40"/>
  <c r="F76" i="40" s="1" a="1"/>
  <c r="F76" i="40" s="1"/>
  <c r="P75" i="40"/>
  <c r="Q75" i="40" s="1"/>
  <c r="M75" i="40"/>
  <c r="L75" i="40"/>
  <c r="I75" i="40"/>
  <c r="D75" i="40"/>
  <c r="C75" i="40"/>
  <c r="F75" i="40" s="1" a="1"/>
  <c r="F75" i="40" s="1"/>
  <c r="P74" i="40"/>
  <c r="Q74" i="40" s="1"/>
  <c r="M74" i="40"/>
  <c r="L74" i="40"/>
  <c r="I74" i="40"/>
  <c r="F74" i="40" a="1"/>
  <c r="F74" i="40" s="1"/>
  <c r="C74" i="40"/>
  <c r="D74" i="40" s="1"/>
  <c r="P73" i="40"/>
  <c r="Q73" i="40" s="1"/>
  <c r="M73" i="40"/>
  <c r="L73" i="40"/>
  <c r="I73" i="40"/>
  <c r="C73" i="40"/>
  <c r="F73" i="40" s="1" a="1"/>
  <c r="F73" i="40" s="1"/>
  <c r="Q72" i="40"/>
  <c r="P72" i="40"/>
  <c r="M72" i="40"/>
  <c r="L72" i="40"/>
  <c r="I72" i="40"/>
  <c r="C72" i="40"/>
  <c r="F72" i="40" s="1" a="1"/>
  <c r="F72" i="40" s="1"/>
  <c r="P71" i="40"/>
  <c r="Q71" i="40" s="1"/>
  <c r="M71" i="40"/>
  <c r="L71" i="40"/>
  <c r="I71" i="40"/>
  <c r="F71" i="40" a="1"/>
  <c r="F71" i="40" s="1"/>
  <c r="D71" i="40"/>
  <c r="C71" i="40"/>
  <c r="Q70" i="40"/>
  <c r="P70" i="40"/>
  <c r="M70" i="40"/>
  <c r="L70" i="40"/>
  <c r="I70" i="40"/>
  <c r="F70" i="40" a="1"/>
  <c r="F70" i="40" s="1"/>
  <c r="C70" i="40"/>
  <c r="D70" i="40" s="1"/>
  <c r="P69" i="40"/>
  <c r="Q69" i="40" s="1"/>
  <c r="M69" i="40"/>
  <c r="L69" i="40"/>
  <c r="I69" i="40"/>
  <c r="D69" i="40"/>
  <c r="C69" i="40"/>
  <c r="F69" i="40" s="1" a="1"/>
  <c r="F69" i="40" s="1"/>
  <c r="Q68" i="40"/>
  <c r="P68" i="40"/>
  <c r="M68" i="40"/>
  <c r="L68" i="40"/>
  <c r="I68" i="40"/>
  <c r="C68" i="40"/>
  <c r="F68" i="40" s="1" a="1"/>
  <c r="F68" i="40" s="1"/>
  <c r="P67" i="40"/>
  <c r="Q67" i="40" s="1"/>
  <c r="M67" i="40"/>
  <c r="L67" i="40"/>
  <c r="I67" i="40"/>
  <c r="D67" i="40"/>
  <c r="C67" i="40"/>
  <c r="F67" i="40" s="1" a="1"/>
  <c r="F67" i="40" s="1"/>
  <c r="P66" i="40"/>
  <c r="Q66" i="40" s="1"/>
  <c r="M66" i="40"/>
  <c r="L66" i="40"/>
  <c r="I66" i="40"/>
  <c r="F66" i="40" a="1"/>
  <c r="F66" i="40" s="1"/>
  <c r="C66" i="40"/>
  <c r="D66" i="40" s="1"/>
  <c r="P65" i="40"/>
  <c r="Q65" i="40" s="1"/>
  <c r="M65" i="40"/>
  <c r="L65" i="40"/>
  <c r="I65" i="40"/>
  <c r="C65" i="40"/>
  <c r="F65" i="40" s="1" a="1"/>
  <c r="F65" i="40" s="1"/>
  <c r="Q64" i="40"/>
  <c r="P64" i="40"/>
  <c r="M64" i="40"/>
  <c r="L64" i="40"/>
  <c r="I64" i="40"/>
  <c r="C64" i="40"/>
  <c r="F64" i="40" s="1" a="1"/>
  <c r="F64" i="40" s="1"/>
  <c r="P63" i="40"/>
  <c r="Q63" i="40" s="1"/>
  <c r="M63" i="40"/>
  <c r="L63" i="40"/>
  <c r="I63" i="40"/>
  <c r="F63" i="40" a="1"/>
  <c r="F63" i="40" s="1"/>
  <c r="D63" i="40"/>
  <c r="C63" i="40"/>
  <c r="Q62" i="40"/>
  <c r="P62" i="40"/>
  <c r="M62" i="40"/>
  <c r="L62" i="40"/>
  <c r="I62" i="40"/>
  <c r="F62" i="40" a="1"/>
  <c r="F62" i="40" s="1"/>
  <c r="C62" i="40"/>
  <c r="D62" i="40" s="1"/>
  <c r="P61" i="40"/>
  <c r="Q61" i="40" s="1"/>
  <c r="M61" i="40"/>
  <c r="L61" i="40"/>
  <c r="I61" i="40"/>
  <c r="D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C58" i="40"/>
  <c r="D58" i="40" s="1"/>
  <c r="P57" i="40"/>
  <c r="Q57" i="40" s="1"/>
  <c r="M57" i="40"/>
  <c r="L57" i="40"/>
  <c r="I57" i="40"/>
  <c r="C57" i="40"/>
  <c r="F57" i="40" s="1" a="1"/>
  <c r="F57" i="40" s="1"/>
  <c r="Q56" i="40"/>
  <c r="P56" i="40"/>
  <c r="M56" i="40"/>
  <c r="L56" i="40"/>
  <c r="I56" i="40"/>
  <c r="C56" i="40"/>
  <c r="F56" i="40" s="1" a="1"/>
  <c r="F56" i="40" s="1"/>
  <c r="P55" i="40"/>
  <c r="Q55" i="40" s="1"/>
  <c r="M55" i="40"/>
  <c r="L55" i="40"/>
  <c r="I55" i="40"/>
  <c r="F55" i="40" a="1"/>
  <c r="F55" i="40" s="1"/>
  <c r="D55" i="40"/>
  <c r="C55" i="40"/>
  <c r="Q54" i="40"/>
  <c r="P54" i="40"/>
  <c r="M54" i="40"/>
  <c r="L54" i="40"/>
  <c r="I54" i="40"/>
  <c r="F54" i="40" a="1"/>
  <c r="F54" i="40" s="1"/>
  <c r="C54" i="40"/>
  <c r="D54" i="40" s="1"/>
  <c r="P53" i="40"/>
  <c r="Q53" i="40" s="1"/>
  <c r="M53" i="40"/>
  <c r="L53" i="40"/>
  <c r="I53" i="40"/>
  <c r="D53" i="40"/>
  <c r="C53" i="40"/>
  <c r="F53" i="40" s="1" a="1"/>
  <c r="F53" i="40" s="1"/>
  <c r="Q52" i="40"/>
  <c r="P52" i="40"/>
  <c r="M52" i="40"/>
  <c r="L52" i="40"/>
  <c r="I52" i="40"/>
  <c r="C52" i="40"/>
  <c r="F52" i="40" s="1" a="1"/>
  <c r="F52" i="40" s="1"/>
  <c r="P51" i="40"/>
  <c r="Q51" i="40" s="1"/>
  <c r="M51" i="40"/>
  <c r="L51" i="40"/>
  <c r="I51" i="40"/>
  <c r="D51" i="40"/>
  <c r="C51" i="40"/>
  <c r="F51" i="40" s="1" a="1"/>
  <c r="F51" i="40" s="1"/>
  <c r="P50" i="40"/>
  <c r="Q50" i="40" s="1"/>
  <c r="M50" i="40"/>
  <c r="L50" i="40"/>
  <c r="I50" i="40"/>
  <c r="F50" i="40" a="1"/>
  <c r="F50" i="40" s="1"/>
  <c r="C50" i="40"/>
  <c r="D50" i="40" s="1"/>
  <c r="P49" i="40"/>
  <c r="Q49" i="40" s="1"/>
  <c r="M49" i="40"/>
  <c r="L49" i="40"/>
  <c r="I49" i="40"/>
  <c r="C49" i="40"/>
  <c r="F49" i="40" s="1" a="1"/>
  <c r="F49" i="40" s="1"/>
  <c r="Q48" i="40"/>
  <c r="P48" i="40"/>
  <c r="M48" i="40"/>
  <c r="L48" i="40"/>
  <c r="I48" i="40"/>
  <c r="C48" i="40"/>
  <c r="D48" i="40" s="1"/>
  <c r="P47" i="40"/>
  <c r="Q47" i="40" s="1"/>
  <c r="M47" i="40"/>
  <c r="L47" i="40"/>
  <c r="I47" i="40"/>
  <c r="F47" i="40" a="1"/>
  <c r="F47" i="40" s="1"/>
  <c r="D47" i="40"/>
  <c r="C47" i="40"/>
  <c r="Q46" i="40"/>
  <c r="P46" i="40"/>
  <c r="M46" i="40"/>
  <c r="L46" i="40"/>
  <c r="I46" i="40"/>
  <c r="F46" i="40" a="1"/>
  <c r="F46" i="40" s="1"/>
  <c r="C46" i="40"/>
  <c r="D46" i="40" s="1"/>
  <c r="P45" i="40"/>
  <c r="Q45" i="40" s="1"/>
  <c r="M45" i="40"/>
  <c r="L45" i="40"/>
  <c r="I45" i="40"/>
  <c r="D45" i="40"/>
  <c r="C45" i="40"/>
  <c r="F45" i="40" s="1" a="1"/>
  <c r="F45" i="40" s="1"/>
  <c r="Q44" i="40"/>
  <c r="P44" i="40"/>
  <c r="M44" i="40"/>
  <c r="L44" i="40"/>
  <c r="I44" i="40"/>
  <c r="C44" i="40"/>
  <c r="F44" i="40" s="1" a="1"/>
  <c r="F44" i="40" s="1"/>
  <c r="P43" i="40"/>
  <c r="Q43" i="40" s="1"/>
  <c r="M43" i="40"/>
  <c r="L43" i="40"/>
  <c r="I43" i="40"/>
  <c r="D43" i="40"/>
  <c r="C43" i="40"/>
  <c r="F43" i="40" s="1" a="1"/>
  <c r="F43" i="40" s="1"/>
  <c r="P42" i="40"/>
  <c r="Q42" i="40" s="1"/>
  <c r="M42" i="40"/>
  <c r="L42" i="40"/>
  <c r="I42" i="40"/>
  <c r="F42" i="40" a="1"/>
  <c r="F42" i="40" s="1"/>
  <c r="C42" i="40"/>
  <c r="D42" i="40" s="1"/>
  <c r="P41" i="40"/>
  <c r="Q41" i="40" s="1"/>
  <c r="M41" i="40"/>
  <c r="L41" i="40"/>
  <c r="I41" i="40"/>
  <c r="C41" i="40"/>
  <c r="F41" i="40" s="1" a="1"/>
  <c r="F41" i="40" s="1"/>
  <c r="Q40" i="40"/>
  <c r="P40" i="40"/>
  <c r="M40" i="40"/>
  <c r="L40" i="40"/>
  <c r="I40" i="40"/>
  <c r="C40" i="40"/>
  <c r="F40" i="40" s="1" a="1"/>
  <c r="F40" i="40" s="1"/>
  <c r="P39" i="40"/>
  <c r="Q39" i="40" s="1"/>
  <c r="M39" i="40"/>
  <c r="L39" i="40"/>
  <c r="I39" i="40"/>
  <c r="F39" i="40" a="1"/>
  <c r="F39" i="40" s="1"/>
  <c r="D39" i="40"/>
  <c r="C39" i="40"/>
  <c r="Q38" i="40"/>
  <c r="P38" i="40"/>
  <c r="M38" i="40"/>
  <c r="L38" i="40"/>
  <c r="I38" i="40"/>
  <c r="F38" i="40" a="1"/>
  <c r="F38" i="40" s="1"/>
  <c r="C38" i="40"/>
  <c r="D38" i="40" s="1"/>
  <c r="P37" i="40"/>
  <c r="Q37" i="40" s="1"/>
  <c r="M37" i="40"/>
  <c r="L37" i="40"/>
  <c r="I37" i="40"/>
  <c r="D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C34" i="40"/>
  <c r="D34" i="40" s="1"/>
  <c r="P33" i="40"/>
  <c r="Q33" i="40" s="1"/>
  <c r="M33" i="40"/>
  <c r="L33" i="40"/>
  <c r="I33" i="40"/>
  <c r="C33" i="40"/>
  <c r="F33" i="40" s="1" a="1"/>
  <c r="F33" i="40" s="1"/>
  <c r="Q32" i="40"/>
  <c r="P32" i="40"/>
  <c r="M32" i="40"/>
  <c r="L32" i="40"/>
  <c r="I32" i="40"/>
  <c r="C32" i="40"/>
  <c r="F32" i="40" s="1" a="1"/>
  <c r="F32" i="40" s="1"/>
  <c r="P31" i="40"/>
  <c r="Q31" i="40" s="1"/>
  <c r="M31" i="40"/>
  <c r="L31" i="40"/>
  <c r="I31" i="40"/>
  <c r="F31" i="40" a="1"/>
  <c r="F31" i="40" s="1"/>
  <c r="D31" i="40"/>
  <c r="C31" i="40"/>
  <c r="Q30" i="40"/>
  <c r="P30" i="40"/>
  <c r="M30" i="40"/>
  <c r="L30" i="40"/>
  <c r="I30" i="40"/>
  <c r="F30" i="40" a="1"/>
  <c r="F30" i="40" s="1"/>
  <c r="C30" i="40"/>
  <c r="D30" i="40" s="1"/>
  <c r="P29" i="40"/>
  <c r="Q29" i="40" s="1"/>
  <c r="M29" i="40"/>
  <c r="L29" i="40"/>
  <c r="I29" i="40"/>
  <c r="D29" i="40"/>
  <c r="C29" i="40"/>
  <c r="F29" i="40" s="1" a="1"/>
  <c r="F29" i="40" s="1"/>
  <c r="Q28" i="40"/>
  <c r="P28" i="40"/>
  <c r="M28" i="40"/>
  <c r="L28" i="40"/>
  <c r="I28" i="40"/>
  <c r="C28" i="40"/>
  <c r="F28" i="40" s="1" a="1"/>
  <c r="F28" i="40" s="1"/>
  <c r="P27" i="40"/>
  <c r="Q27" i="40" s="1"/>
  <c r="M27" i="40"/>
  <c r="L27" i="40"/>
  <c r="I27" i="40"/>
  <c r="D27" i="40"/>
  <c r="C27" i="40"/>
  <c r="F27" i="40" s="1" a="1"/>
  <c r="F27" i="40" s="1"/>
  <c r="P26" i="40"/>
  <c r="Q26" i="40" s="1"/>
  <c r="M26" i="40"/>
  <c r="L26" i="40"/>
  <c r="I26" i="40"/>
  <c r="F26" i="40" a="1"/>
  <c r="F26" i="40" s="1"/>
  <c r="C26" i="40"/>
  <c r="D26" i="40" s="1"/>
  <c r="P25" i="40"/>
  <c r="Q25" i="40" s="1"/>
  <c r="M25" i="40"/>
  <c r="L25" i="40"/>
  <c r="I25" i="40"/>
  <c r="C25" i="40"/>
  <c r="F25" i="40" s="1" a="1"/>
  <c r="F25" i="40" s="1"/>
  <c r="Q24" i="40"/>
  <c r="P24" i="40"/>
  <c r="M24" i="40"/>
  <c r="L24" i="40"/>
  <c r="I24" i="40"/>
  <c r="C24" i="40"/>
  <c r="F24" i="40" s="1" a="1"/>
  <c r="F24" i="40" s="1"/>
  <c r="P23" i="40"/>
  <c r="Q23" i="40" s="1"/>
  <c r="M23" i="40"/>
  <c r="L23" i="40"/>
  <c r="I23" i="40"/>
  <c r="F23" i="40" a="1"/>
  <c r="F23" i="40" s="1"/>
  <c r="D23" i="40"/>
  <c r="C23" i="40"/>
  <c r="Q22" i="40"/>
  <c r="P22" i="40"/>
  <c r="M22" i="40"/>
  <c r="L22" i="40"/>
  <c r="I22" i="40"/>
  <c r="F22" i="40" a="1"/>
  <c r="F22" i="40" s="1"/>
  <c r="C22" i="40"/>
  <c r="D22" i="40" s="1"/>
  <c r="P21" i="40"/>
  <c r="Q21" i="40" s="1"/>
  <c r="M21" i="40"/>
  <c r="L21" i="40"/>
  <c r="I21" i="40"/>
  <c r="D21" i="40"/>
  <c r="C21" i="40"/>
  <c r="F21" i="40" s="1" a="1"/>
  <c r="F21" i="40" s="1"/>
  <c r="Q20" i="40"/>
  <c r="P20" i="40"/>
  <c r="M20" i="40"/>
  <c r="L20" i="40"/>
  <c r="I20" i="40"/>
  <c r="C20" i="40"/>
  <c r="F20" i="40" s="1" a="1"/>
  <c r="F20" i="40" s="1"/>
  <c r="P19" i="40"/>
  <c r="Q19" i="40" s="1"/>
  <c r="M19" i="40"/>
  <c r="L19" i="40"/>
  <c r="I19" i="40"/>
  <c r="F19" i="40"/>
  <c r="F19" i="40" a="1"/>
  <c r="D19" i="40"/>
  <c r="C19" i="40"/>
  <c r="P18" i="40"/>
  <c r="Q18" i="40" s="1"/>
  <c r="M18" i="40"/>
  <c r="L18" i="40"/>
  <c r="I18" i="40"/>
  <c r="F18" i="40" a="1"/>
  <c r="F18" i="40" s="1"/>
  <c r="C18" i="40"/>
  <c r="D18" i="40" s="1"/>
  <c r="P17" i="40"/>
  <c r="Q17" i="40" s="1"/>
  <c r="M17" i="40"/>
  <c r="L17" i="40"/>
  <c r="I17" i="40"/>
  <c r="C17" i="40"/>
  <c r="F17" i="40" s="1" a="1"/>
  <c r="F17" i="40" s="1"/>
  <c r="Q16" i="40"/>
  <c r="P16" i="40"/>
  <c r="M16" i="40"/>
  <c r="L16" i="40"/>
  <c r="I16" i="40"/>
  <c r="C16" i="40"/>
  <c r="F16" i="40" s="1" a="1"/>
  <c r="F16" i="40" s="1"/>
  <c r="P15" i="40"/>
  <c r="Q15" i="40" s="1"/>
  <c r="M15" i="40"/>
  <c r="L15" i="40"/>
  <c r="I15" i="40"/>
  <c r="F15" i="40" a="1"/>
  <c r="F15" i="40" s="1"/>
  <c r="D15" i="40"/>
  <c r="C15" i="40"/>
  <c r="Q14" i="40"/>
  <c r="P14" i="40"/>
  <c r="M14" i="40"/>
  <c r="L14" i="40"/>
  <c r="I14" i="40"/>
  <c r="F14" i="40" a="1"/>
  <c r="F14" i="40" s="1"/>
  <c r="C14" i="40"/>
  <c r="D14" i="40" s="1"/>
  <c r="P13" i="40"/>
  <c r="Q13" i="40" s="1"/>
  <c r="M13" i="40"/>
  <c r="L13" i="40"/>
  <c r="I13" i="40"/>
  <c r="D13" i="40"/>
  <c r="C13" i="40"/>
  <c r="F13" i="40" s="1" a="1"/>
  <c r="F13" i="40" s="1"/>
  <c r="Q12" i="40"/>
  <c r="P12" i="40"/>
  <c r="M12" i="40"/>
  <c r="L12" i="40"/>
  <c r="I12" i="40"/>
  <c r="C12" i="40"/>
  <c r="F12" i="40" s="1" a="1"/>
  <c r="F12" i="40" s="1"/>
  <c r="P11" i="40"/>
  <c r="Q11" i="40" s="1"/>
  <c r="M11" i="40"/>
  <c r="L11" i="40"/>
  <c r="I11" i="40"/>
  <c r="F11" i="40" a="1"/>
  <c r="F11" i="40" s="1"/>
  <c r="D11" i="40"/>
  <c r="C11" i="40"/>
  <c r="P10" i="40"/>
  <c r="Q10" i="40" s="1"/>
  <c r="M10" i="40"/>
  <c r="L10" i="40"/>
  <c r="I10" i="40"/>
  <c r="F10" i="40" a="1"/>
  <c r="F10" i="40" s="1"/>
  <c r="C10" i="40"/>
  <c r="D10" i="40" s="1"/>
  <c r="P9" i="40"/>
  <c r="Q9" i="40" s="1"/>
  <c r="M9" i="40"/>
  <c r="L9" i="40"/>
  <c r="I9" i="40"/>
  <c r="C9" i="40"/>
  <c r="F9" i="40" s="1" a="1"/>
  <c r="F9" i="40" s="1"/>
  <c r="Q8" i="40"/>
  <c r="P8" i="40"/>
  <c r="P7" i="40"/>
  <c r="Q7" i="40" s="1"/>
  <c r="Q6" i="40"/>
  <c r="P6" i="40"/>
  <c r="D26" i="42" l="1"/>
  <c r="D34" i="42"/>
  <c r="D42" i="42"/>
  <c r="D50" i="42"/>
  <c r="D10" i="42"/>
  <c r="D18" i="42"/>
  <c r="D16" i="42"/>
  <c r="F17" i="42" a="1"/>
  <c r="F17" i="42" s="1"/>
  <c r="D24" i="42"/>
  <c r="F25" i="42" a="1"/>
  <c r="F25" i="42" s="1"/>
  <c r="D32" i="42"/>
  <c r="D40" i="42"/>
  <c r="D48" i="42"/>
  <c r="D56" i="42"/>
  <c r="D64" i="42"/>
  <c r="D72" i="42"/>
  <c r="D80" i="42"/>
  <c r="D88" i="42"/>
  <c r="D96" i="42"/>
  <c r="D47" i="42"/>
  <c r="D55" i="42"/>
  <c r="D63" i="42"/>
  <c r="D71" i="42"/>
  <c r="D79" i="42"/>
  <c r="D87" i="42"/>
  <c r="D95" i="42"/>
  <c r="F12" i="42" a="1"/>
  <c r="F12" i="42" s="1"/>
  <c r="D20" i="42"/>
  <c r="F29" i="41" a="1"/>
  <c r="F29" i="41" s="1"/>
  <c r="D30" i="41"/>
  <c r="F37" i="41" a="1"/>
  <c r="F37" i="41" s="1"/>
  <c r="D38" i="41"/>
  <c r="D46" i="41"/>
  <c r="D54" i="41"/>
  <c r="D62" i="41"/>
  <c r="D70" i="41"/>
  <c r="D78" i="41"/>
  <c r="D86" i="41"/>
  <c r="D94" i="41"/>
  <c r="D32" i="41"/>
  <c r="D40" i="41"/>
  <c r="D48" i="41"/>
  <c r="D56" i="41"/>
  <c r="D64" i="41"/>
  <c r="D72" i="41"/>
  <c r="D80" i="41"/>
  <c r="D88" i="41"/>
  <c r="D96" i="41"/>
  <c r="D12" i="40"/>
  <c r="D20" i="40"/>
  <c r="D28" i="40"/>
  <c r="D36" i="40"/>
  <c r="D44" i="40"/>
  <c r="D52" i="40"/>
  <c r="D60" i="40"/>
  <c r="D68" i="40"/>
  <c r="D76" i="40"/>
  <c r="D84" i="40"/>
  <c r="D92" i="40"/>
  <c r="D100" i="40"/>
  <c r="D24" i="40"/>
  <c r="D56" i="40"/>
  <c r="D64" i="40"/>
  <c r="D72" i="40"/>
  <c r="D80" i="40"/>
  <c r="D40" i="40"/>
  <c r="D9" i="40"/>
  <c r="D25" i="40"/>
  <c r="D41" i="40"/>
  <c r="F48" i="40" a="1"/>
  <c r="F48" i="40" s="1"/>
  <c r="D49" i="40"/>
  <c r="D57" i="40"/>
  <c r="D65" i="40"/>
  <c r="D73" i="40"/>
  <c r="D81" i="40"/>
  <c r="D97" i="40"/>
  <c r="D16" i="40"/>
  <c r="D32" i="40"/>
  <c r="D17" i="40"/>
  <c r="D33" i="40"/>
  <c r="B18" i="24" l="1"/>
  <c r="B17" i="24"/>
  <c r="E10" i="27" l="1"/>
  <c r="E9" i="27"/>
  <c r="E8" i="27"/>
  <c r="E7" i="27"/>
  <c r="E10" i="30"/>
  <c r="E9" i="30"/>
  <c r="E8" i="30"/>
  <c r="E7" i="30"/>
  <c r="E8" i="31"/>
  <c r="E7" i="31"/>
  <c r="E10" i="32"/>
  <c r="E9" i="32"/>
  <c r="E8" i="32"/>
  <c r="E7" i="32"/>
  <c r="E10" i="33"/>
  <c r="E9" i="33"/>
  <c r="E8" i="33"/>
  <c r="E7" i="33"/>
  <c r="E10" i="34"/>
  <c r="E9" i="34"/>
  <c r="E8" i="34"/>
  <c r="E7" i="34"/>
  <c r="E10" i="35"/>
  <c r="E9" i="35"/>
  <c r="E8" i="35"/>
  <c r="E7" i="35"/>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<sst xmlns="http://schemas.openxmlformats.org/spreadsheetml/2006/main" count="1403" uniqueCount="365">
  <si>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</si>
  <si>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</si>
  <si>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</si>
  <si>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</si>
  <si>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</si>
  <si>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</si>
  <si>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</si>
  <si>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</si>
  <si>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</si>
  <si>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</si>
  <si>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</si>
  <si>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</si>
  <si>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</si>
  <si>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</si>
  <si>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</si>
  <si>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</si>
  <si>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</si>
  <si>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</si>
  <si>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</si>
  <si>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</si>
  <si>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</si>
  <si>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</si>
  <si>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</si>
  <si>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</si>
  <si>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</si>
  <si>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</si>
  <si>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</si>
  <si>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</si>
  <si>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</si>
  <si>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</si>
  <si>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</si>
  <si>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</si>
  <si>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</si>
  <si>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</si>
  <si>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</si>
  <si>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</si>
  <si>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</si>
  <si>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</si>
  <si>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</si>
  <si>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</si>
  <si>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</si>
  <si>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</si>
  <si>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</si>
  <si>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</si>
  <si>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</si>
  <si>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</si>
  <si>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</si>
  <si>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</si>
  <si>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</si>
  <si>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</si>
  <si>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</si>
  <si>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</si>
  <si>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</si>
  <si>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</si>
  <si>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</si>
  <si>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</si>
  <si>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</si>
  <si>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</si>
  <si>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</si>
  <si>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</si>
  <si>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</si>
  <si>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</si>
  <si>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</si>
  <si>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</si>
  <si>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</si>
  <si>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</si>
  <si>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</si>
  <si>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</si>
  <si>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</si>
  <si>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</si>
  <si>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</si>
  <si>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</si>
  <si>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</si>
  <si>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</si>
  <si>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</si>
  <si>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</si>
  <si>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</si>
  <si>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</si>
  <si>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</si>
  <si>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</si>
  <si>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</si>
  <si>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</si>
  <si>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</si>
  <si>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</si>
  <si>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</si>
  <si>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</si>
  <si>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</si>
  <si>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</si>
  <si>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</si>
  <si>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</si>
  <si>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</si>
  <si>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</si>
  <si>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</si>
  <si>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</si>
  <si>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</si>
  <si>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</si>
  <si>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</si>
  <si>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</si>
  <si>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</si>
  <si>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</si>
  <si>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</si>
  <si>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</si>
  <si>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</si>
  <si>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</si>
  <si>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</si>
  <si>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</si>
  <si>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</si>
  <si>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</si>
  <si>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</si>
  <si>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</si>
  <si>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</si>
  <si>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</si>
  <si>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</si>
  <si>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</si>
  <si>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</si>
  <si>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</si>
  <si>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</si>
  <si>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</si>
  <si>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</si>
  <si>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</si>
  <si>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</si>
  <si>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</si>
  <si>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</si>
  <si>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</si>
  <si>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</si>
  <si>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</si>
  <si>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</si>
  <si>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</si>
  <si>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</si>
  <si>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</si>
  <si>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</si>
  <si>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</si>
  <si>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</si>
  <si>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</si>
  <si>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</si>
  <si>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</si>
  <si>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</si>
  <si>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</si>
  <si>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</si>
  <si>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</si>
  <si>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</si>
  <si>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</si>
  <si>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</si>
  <si>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</si>
  <si>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</si>
  <si>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</si>
  <si>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</si>
  <si>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</si>
  <si>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</si>
  <si>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</si>
  <si>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</si>
  <si>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</si>
  <si>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</si>
  <si>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</si>
  <si>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</si>
  <si>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</si>
  <si>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</si>
  <si>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</si>
  <si>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</si>
  <si>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</si>
  <si>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</si>
  <si>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</si>
  <si>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</si>
  <si>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</si>
  <si>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</si>
  <si>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</si>
  <si>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</si>
  <si>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</si>
  <si>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</si>
  <si>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</si>
  <si>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</si>
  <si>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</si>
  <si>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</si>
  <si>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</si>
  <si>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</si>
  <si>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</si>
  <si>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</si>
  <si>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</si>
  <si>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</si>
  <si>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</si>
  <si>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</si>
  <si>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</si>
  <si>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</si>
  <si>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</si>
  <si>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</si>
  <si>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</si>
  <si>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</si>
  <si>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</si>
  <si>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</si>
  <si>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</si>
  <si>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</si>
  <si>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</si>
  <si>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</si>
  <si>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</si>
  <si>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</si>
  <si>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</si>
  <si>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</si>
  <si>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</si>
  <si>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</si>
  <si>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</si>
  <si>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</si>
  <si>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</si>
  <si>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</si>
  <si>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</si>
  <si>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</si>
  <si>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</si>
  <si>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</si>
  <si>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</si>
  <si>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</si>
  <si>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</si>
  <si>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</si>
  <si>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</si>
  <si>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</si>
  <si>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</si>
  <si>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</si>
  <si>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</si>
  <si>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</si>
  <si>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</si>
  <si>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</si>
  <si>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</si>
  <si>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</si>
  <si>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</si>
  <si>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</si>
  <si>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</si>
  <si>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</si>
  <si>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</si>
  <si>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</si>
  <si>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</si>
  <si>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</si>
  <si>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</si>
  <si>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</si>
  <si>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</si>
  <si>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</si>
  <si>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</si>
  <si>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</si>
  <si>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</si>
  <si>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</si>
  <si>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</si>
  <si>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</si>
  <si>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</si>
  <si>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</si>
  <si>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</si>
  <si>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</si>
  <si>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</si>
  <si>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</si>
  <si>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</si>
  <si>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</si>
  <si>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</si>
  <si>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</si>
  <si>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</si>
  <si>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</si>
  <si>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</si>
  <si>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</si>
  <si>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</si>
  <si>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</si>
  <si>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</si>
  <si>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</si>
  <si>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</si>
  <si>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</si>
  <si>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</si>
  <si>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</si>
  <si>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</si>
  <si>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</si>
  <si>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</si>
  <si>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</si>
  <si>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</si>
  <si>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</si>
  <si>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</si>
  <si>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</si>
  <si>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</si>
  <si>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</si>
  <si>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</si>
  <si>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</si>
  <si>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</si>
  <si>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</si>
  <si>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</si>
  <si>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</si>
  <si>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</si>
  <si>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</si>
  <si>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</si>
  <si>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</si>
  <si>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</si>
  <si>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</si>
  <si>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</si>
  <si>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</si>
  <si>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</si>
  <si>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</si>
  <si>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</si>
  <si>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</si>
  <si>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</si>
  <si>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</si>
  <si>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</si>
  <si>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</si>
  <si>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</si>
  <si>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</si>
  <si>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</si>
  <si>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</si>
  <si>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</si>
  <si>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</si>
  <si>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</si>
  <si>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</si>
  <si>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</si>
  <si>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</si>
  <si>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</si>
  <si>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</si>
  <si>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</si>
  <si>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</si>
  <si>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</si>
  <si>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</si>
  <si>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</si>
  <si>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</si>
  <si>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</si>
  <si>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</si>
  <si>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</si>
  <si>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</si>
  <si>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</si>
  <si>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</si>
  <si>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</si>
  <si>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</si>
  <si>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</si>
  <si>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</si>
  <si>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</si>
  <si>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</si>
  <si>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</si>
  <si>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</si>
  <si>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</si>
  <si>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</si>
  <si>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</si>
  <si>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</si>
  <si>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</si>
  <si>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</si>
  <si>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</si>
  <si>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</si>
  <si>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</si>
  <si>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</si>
  <si>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</si>
  <si>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</si>
  <si>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</si>
  <si>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</si>
  <si>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</si>
  <si>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</si>
  <si>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</si>
  <si>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</si>
  <si>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</si>
  <si>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</si>
  <si>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</si>
  <si>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</si>
  <si>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</si>
  <si>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</si>
  <si>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</si>
  <si>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</si>
  <si>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</si>
  <si>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</si>
  <si>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</si>
  <si>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</si>
  <si>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</si>
  <si>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</si>
  <si>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</si>
  <si>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</si>
  <si>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</si>
  <si>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</si>
  <si>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</si>
  <si>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</si>
  <si>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CO2 emissions from the use of Na2CO3.</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</si>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</sst>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7" fontId="0" fillId="0" borderId="0" xfId="0" applyNumberFormat="1"/>
    <xf numFmtId="169" fontId="0" fillId="0" borderId="2" xfId="1"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7BC47D94-B58C-42DD-B9CC-2BE5A9364E2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6D9238AB-CBFD-46BF-89F4-90DC73339AB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E9AE35E8-A218-46B8-90AB-B613C1DE89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ochemical%20conversion%20via%20BDO_fuel%20distribution%20test_burn%20lignin_2022%20SOT-tem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SI - Payload"/>
      <sheetName val="SI - Resources"/>
      <sheetName val="SI - End Use"/>
      <sheetName val="SI - Units"/>
      <sheetName val="SI - Co-products"/>
      <sheetName val="Harvest and collection"/>
      <sheetName val="Field storage"/>
      <sheetName val="Transportation to depot"/>
      <sheetName val="Depot storage"/>
      <sheetName val="Preprocessing"/>
      <sheetName val="Handling"/>
      <sheetName val="Fuel production"/>
      <sheetName val="Fuel distribution"/>
      <sheetName val="Blending"/>
      <sheetName val="Transportation to biorefinery"/>
      <sheetName val="INL Data"/>
    </sheetNames>
    <sheetDataSet>
      <sheetData sheetId="0"/>
      <sheetData sheetId="1"/>
      <sheetData sheetId="2">
        <row r="10">
          <cell r="A10" t="str">
            <v>Corn Stover</v>
          </cell>
          <cell r="B10">
            <v>15</v>
          </cell>
        </row>
        <row r="11">
          <cell r="A11" t="str">
            <v>Algae</v>
          </cell>
          <cell r="B11">
            <v>25</v>
          </cell>
        </row>
        <row r="12">
          <cell r="A12" t="str">
            <v>Diesel</v>
          </cell>
          <cell r="B12">
            <v>25</v>
          </cell>
        </row>
        <row r="13">
          <cell r="A13" t="str">
            <v>Hydrogen</v>
          </cell>
          <cell r="B13">
            <v>0.4</v>
          </cell>
        </row>
        <row r="14">
          <cell r="A14" t="str">
            <v>Renewable Diesel</v>
          </cell>
          <cell r="B14">
            <v>25</v>
          </cell>
        </row>
        <row r="15">
          <cell r="A15" t="str">
            <v>Renewable Diesel - Bichem (BDO)</v>
          </cell>
          <cell r="B15">
            <v>25</v>
          </cell>
        </row>
        <row r="16">
          <cell r="A16" t="str">
            <v>Renewable Diesel - Biochem (Acids)</v>
          </cell>
          <cell r="B16">
            <v>25</v>
          </cell>
        </row>
        <row r="17">
          <cell r="A17" t="str">
            <v>Renewable Diesel - Algae (BDO)</v>
          </cell>
          <cell r="B17">
            <v>0</v>
          </cell>
        </row>
        <row r="18">
          <cell r="A18" t="str">
            <v>Renewable Diesel - Algae (Acids)</v>
          </cell>
          <cell r="B18">
            <v>0</v>
          </cell>
        </row>
        <row r="19">
          <cell r="A19" t="str">
            <v>Caustic</v>
          </cell>
          <cell r="B19">
            <v>22.5</v>
          </cell>
        </row>
        <row r="20">
          <cell r="A20" t="str">
            <v>Ammonia</v>
          </cell>
          <cell r="B20">
            <v>22.5</v>
          </cell>
        </row>
        <row r="21">
          <cell r="A21" t="str">
            <v>Corn Steep Liquor</v>
          </cell>
          <cell r="B21">
            <v>22.5</v>
          </cell>
        </row>
        <row r="22">
          <cell r="A22" t="str">
            <v>Diammonium Phosphate</v>
          </cell>
          <cell r="B22">
            <v>22.5</v>
          </cell>
        </row>
        <row r="23">
          <cell r="A23" t="str">
            <v>Corn oil</v>
          </cell>
          <cell r="B23">
            <v>22.5</v>
          </cell>
        </row>
        <row r="24">
          <cell r="A24" t="str">
            <v>Flocculant</v>
          </cell>
          <cell r="B24">
            <v>22.5</v>
          </cell>
        </row>
        <row r="25">
          <cell r="A25" t="str">
            <v>Glucose</v>
          </cell>
          <cell r="B25">
            <v>22.5</v>
          </cell>
        </row>
        <row r="26">
          <cell r="A26" t="str">
            <v>Host Nutrients</v>
          </cell>
          <cell r="B26">
            <v>22.5</v>
          </cell>
        </row>
        <row r="27">
          <cell r="A27" t="str">
            <v>Sulfuric Acid</v>
          </cell>
          <cell r="B27">
            <v>22.5</v>
          </cell>
        </row>
        <row r="28">
          <cell r="A28" t="str">
            <v>Sulfur Dioxide</v>
          </cell>
          <cell r="B28">
            <v>22.5</v>
          </cell>
        </row>
        <row r="29">
          <cell r="A29" t="str">
            <v>Boiler Chemicals</v>
          </cell>
          <cell r="B29">
            <v>22.5</v>
          </cell>
        </row>
        <row r="30">
          <cell r="A30" t="str">
            <v>FGD Lime</v>
          </cell>
          <cell r="B30">
            <v>22.5</v>
          </cell>
        </row>
        <row r="31">
          <cell r="A31" t="str">
            <v>Cooling Tower Chemicals</v>
          </cell>
          <cell r="B31">
            <v>22.5</v>
          </cell>
        </row>
        <row r="32">
          <cell r="A32" t="str">
            <v>Sodium carbonate</v>
          </cell>
          <cell r="B32">
            <v>22.5</v>
          </cell>
        </row>
        <row r="33">
          <cell r="A33" t="str">
            <v>Sodium sulfate salt</v>
          </cell>
          <cell r="B33">
            <v>22.5</v>
          </cell>
        </row>
        <row r="34">
          <cell r="A34" t="str">
            <v>Sulfur Dioxide</v>
          </cell>
          <cell r="B34">
            <v>22.5</v>
          </cell>
        </row>
        <row r="35">
          <cell r="A35" t="str">
            <v>Host nutrients</v>
          </cell>
          <cell r="B35">
            <v>22.5</v>
          </cell>
        </row>
        <row r="36">
          <cell r="A36" t="str">
            <v>Boiler Chemicals</v>
          </cell>
          <cell r="B36">
            <v>22.5</v>
          </cell>
        </row>
        <row r="37">
          <cell r="A37" t="str">
            <v>Cooling Tower Chemicals</v>
          </cell>
          <cell r="B37">
            <v>22.5</v>
          </cell>
        </row>
        <row r="38">
          <cell r="A38" t="str">
            <v>Biocrude</v>
          </cell>
          <cell r="B38">
            <v>23</v>
          </cell>
        </row>
        <row r="39">
          <cell r="A39" t="str">
            <v>Solids from Aqueous Treatment</v>
          </cell>
          <cell r="B39">
            <v>23</v>
          </cell>
        </row>
        <row r="40">
          <cell r="A40" t="str">
            <v>Betaketoadipate</v>
          </cell>
          <cell r="B40">
            <v>22.5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57FFE6F-94E3-4044-B08C-F1B86DC4D755}" name="Table117" displayName="Table117" ref="A5:T100" totalsRowShown="0" headerRowDxfId="68" dataDxfId="67" tableBorderDxfId="66" dataCellStyle="Percent">
  <autoFilter ref="A5:T100" xr:uid="{1644AED8-49DE-4A1D-989C-1566C9A522B9}"/>
  <tableColumns count="20">
    <tableColumn id="1" xr3:uid="{CCF06DB7-5FC4-4B68-93B3-BA359419FCC4}" name="Type" dataDxfId="65"/>
    <tableColumn id="2" xr3:uid="{AB17CAC2-5BF7-4789-9CFD-245CE46E689A}" name="Category" dataDxfId="64"/>
    <tableColumn id="3" xr3:uid="{FC270786-0A53-4020-A031-9A6369EAEC14}" name="Resource" dataDxfId="63">
      <calculatedColumnFormula>_xlfn.XLOOKUP($B6,'SI - Resources'!$A$1:$J$1,'SI - Resources'!$A$2:$J$2, "")</calculatedColumnFormula>
    </tableColumn>
    <tableColumn id="4" xr3:uid="{31DC5959-8451-4788-BECC-199675341C0B}" name="End Use" dataDxfId="62">
      <calculatedColumnFormula>IF(_xlfn.XLOOKUP($C6,'SI - End Use'!$B$2:$B$6,'SI - End Use'!$C$2:$C$6, "")="", "", _xlfn.XLOOKUP($C6,'SI - End Use'!$B$2:$B$6,'SI - End Use'!$C$2:$C$6, ""))</calculatedColumnFormula>
    </tableColumn>
    <tableColumn id="5" xr3:uid="{8CC11480-58AD-4EAB-B1AB-DC99DC6B9637}" name="Amount" dataDxfId="61" dataCellStyle="Comma"/>
    <tableColumn id="6" xr3:uid="{71F08996-8B28-4823-8499-9086EF4C9C51}" name="Unit" dataDxfId="60">
      <calculatedColumnFormula array="1">IF($B6="Transportation",  'SI - Units'!$B$9:$B$9, _xlfn.XLOOKUP(_xlfn.XLOOKUP($C6,'SI - Units'!$B$24:$B$109,'SI - Units'!$C$24:$C$109, ""),'SI - Units'!$A$2:$A$8,'SI - Units'!$B$2:$B$8, ""))</calculatedColumnFormula>
    </tableColumn>
    <tableColumn id="7" xr3:uid="{F5352498-0402-4517-B913-02D43E8DAD89}" name="Moisture" dataDxfId="59" dataCellStyle="Percent"/>
    <tableColumn id="8" xr3:uid="{0FE135A3-295A-4CC2-9446-37262F89C9C9}" name="Previous Stage" dataDxfId="58" dataCellStyle="Percent"/>
    <tableColumn id="9" xr3:uid="{DBC0A0D7-39DB-4776-B0AC-904CE54BBC43}" name="Always Use Displacement Method for Co-Product?" dataDxfId="57" dataCellStyle="Percent">
      <calculatedColumnFormula>IF(Table117[[#This Row],[Type]]="Co-product", "No", "")</calculatedColumnFormula>
    </tableColumn>
    <tableColumn id="19" xr3:uid="{ECFEF479-F090-4058-A62F-D8079D4F1FB2}" name="Urban Share" dataDxfId="56" dataCellStyle="Percent"/>
    <tableColumn id="10" xr3:uid="{85D6562F-CA5A-4641-820A-513764CD3681}" name="Product Train" dataDxfId="55"/>
    <tableColumn id="14" xr3:uid="{7A075F4E-CBC6-4446-9C9C-3BC560C3A7B2}" name="Payload" dataDxfId="54">
      <calculatedColumnFormula>IF(Table117[[#This Row],[Category]]="Transportation", _xlfn.XLOOKUP(Table117[[#This Row],[Resource]], 'SI - Payload'!$A$10:$A$40,'SI - Payload'!$B$10:$B$40,"",0), "")</calculatedColumnFormula>
    </tableColumn>
    <tableColumn id="15" xr3:uid="{9AF01681-18C1-4F73-8387-00766490DC61}" name="Payload Unit" dataDxfId="53">
      <calculatedColumnFormula>IF(Table117[[#This Row],[Category]]="Transportation", "ton", "")</calculatedColumnFormula>
    </tableColumn>
    <tableColumn id="16" xr3:uid="{C9BEDCB9-814E-4D5D-930A-9224CEB3F4BF}" name="Market Price" dataDxfId="52"/>
    <tableColumn id="17" xr3:uid="{FCE1F9D7-55A2-424E-9552-A14D5AE9782D}" name="Market Price Unit" dataDxfId="51"/>
    <tableColumn id="12" xr3:uid="{4B4AACDE-97AA-4B74-98B1-C75F2BD57B77}" name="Incumbent Product" dataDxfId="50">
      <calculatedColumnFormula>IF(OR(Table117[[#This Row],[Type]]="Main Product", Table117[[#This Row],[Type]]="Co-Product"), Table117[[#This Row],[Resource]], "")</calculatedColumnFormula>
    </tableColumn>
    <tableColumn id="13" xr3:uid="{8E32C799-69A7-46F0-8972-B415F9F117B7}" name="End Use of Incumbent Product" dataDxfId="49">
      <calculatedColumnFormula>IF(_xlfn.XLOOKUP($P6,'SI - End Use'!$B$2:$B$6,'SI - End Use'!$C$2:$C$6, "")="", "", _xlfn.XLOOKUP($C6,'SI - End Use'!$B$2:$B$6,'SI - End Use'!$C$2:$C$6, ""))</calculatedColumnFormula>
    </tableColumn>
    <tableColumn id="20" xr3:uid="{6DE1640A-3263-46E8-922D-45206110B3C8}" name="Surrogate For" dataDxfId="48"/>
    <tableColumn id="18" xr3:uid="{49317525-BD61-44F1-BE8F-2E3E61416F08}" name="Process" dataDxfId="47"/>
    <tableColumn id="11" xr3:uid="{A945FF7B-6B9F-459A-82C2-D307109E507E}"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995431-9C3B-4D9F-B1C9-CB44720FC0FC}" name="Table118" displayName="Table118" ref="A5:T100" totalsRowShown="0" headerRowDxfId="45" dataDxfId="44" tableBorderDxfId="43" dataCellStyle="Percent">
  <autoFilter ref="A5:T100" xr:uid="{1644AED8-49DE-4A1D-989C-1566C9A522B9}"/>
  <tableColumns count="20">
    <tableColumn id="1" xr3:uid="{76D1F945-06AA-449F-9D29-B7D04393D78F}" name="Type" dataDxfId="42"/>
    <tableColumn id="2" xr3:uid="{81330C58-6501-482D-96E1-2A36A9039BA0}" name="Category" dataDxfId="41"/>
    <tableColumn id="3" xr3:uid="{643F0EA2-3F95-4944-A9B7-D30E4E6FC7DB}" name="Resource" dataDxfId="40">
      <calculatedColumnFormula>_xlfn.XLOOKUP($B6,'SI - Resources'!$A$1:$J$1,'SI - Resources'!$A$2:$J$2, "")</calculatedColumnFormula>
    </tableColumn>
    <tableColumn id="4" xr3:uid="{3ADF4A75-15E8-445E-A7ED-4503E1783409}" name="End Use" dataDxfId="39">
      <calculatedColumnFormula>IF(_xlfn.XLOOKUP($C6,'SI - End Use'!$B$2:$B$6,'SI - End Use'!$C$2:$C$6, "")="", "", _xlfn.XLOOKUP($C6,'SI - End Use'!$B$2:$B$6,'SI - End Use'!$C$2:$C$6, ""))</calculatedColumnFormula>
    </tableColumn>
    <tableColumn id="5" xr3:uid="{CFC39392-FEB1-40AF-ABB2-9CAD1C2FD348}" name="Amount" dataDxfId="38" dataCellStyle="Comma"/>
    <tableColumn id="6" xr3:uid="{A8D0629E-19DE-4247-8F6A-8335937BB19E}" name="Unit" dataDxfId="37">
      <calculatedColumnFormula array="1">IF($B6="Transportation",  'SI - Units'!$B$9:$B$9, _xlfn.XLOOKUP(_xlfn.XLOOKUP($C6,'SI - Units'!$B$24:$B$109,'SI - Units'!$C$24:$C$109, ""),'SI - Units'!$A$2:$A$8,'SI - Units'!$B$2:$B$8, ""))</calculatedColumnFormula>
    </tableColumn>
    <tableColumn id="7" xr3:uid="{599E8D16-624B-4BD0-9EBB-86245E1F34F8}" name="Moisture" dataDxfId="36" dataCellStyle="Percent"/>
    <tableColumn id="8" xr3:uid="{5291B2B2-B4A8-4D39-A737-5EB5DB5B9138}" name="Previous Stage" dataDxfId="35" dataCellStyle="Percent"/>
    <tableColumn id="9" xr3:uid="{A40BA88D-1BC1-4C1B-8040-1BB22F396D14}" name="Always Use Displacement Method for Co-Product?" dataDxfId="34" dataCellStyle="Percent">
      <calculatedColumnFormula>IF(Table118[[#This Row],[Type]]="Co-product", "No", "")</calculatedColumnFormula>
    </tableColumn>
    <tableColumn id="19" xr3:uid="{B186E321-D157-4903-B2FF-3127B1ABEF31}" name="Urban Share" dataDxfId="33" dataCellStyle="Percent"/>
    <tableColumn id="10" xr3:uid="{24ACCC83-D1E9-4915-A0F0-70C415E45E58}" name="Product Train" dataDxfId="32"/>
    <tableColumn id="14" xr3:uid="{F1440FBB-6DEE-49D0-990D-D243D6B9FBCD}" name="Payload" dataDxfId="31">
      <calculatedColumnFormula>IF(Table118[[#This Row],[Category]]="Transportation", _xlfn.XLOOKUP(Table118[[#This Row],[Resource]], 'SI - Payload'!$A$10:$A$40,'SI - Payload'!$B$10:$B$40,"",0), "")</calculatedColumnFormula>
    </tableColumn>
    <tableColumn id="15" xr3:uid="{C4DE6FC1-DBF5-4838-823B-F79146B35439}" name="Payload Unit" dataDxfId="30">
      <calculatedColumnFormula>IF(Table118[[#This Row],[Category]]="Transportation", "ton", "")</calculatedColumnFormula>
    </tableColumn>
    <tableColumn id="16" xr3:uid="{9EDFDD57-B156-492C-8060-1FDCDED1DEC4}" name="Market Price" dataDxfId="29"/>
    <tableColumn id="17" xr3:uid="{739C48FB-CDFC-4F62-820A-7B0B082662FD}" name="Market Price Unit" dataDxfId="28"/>
    <tableColumn id="12" xr3:uid="{4F2A7C6D-E743-4F6B-86A8-22D09C17557F}" name="Incumbent Product" dataDxfId="27">
      <calculatedColumnFormula>IF(OR(Table118[[#This Row],[Type]]="Main Product", Table118[[#This Row],[Type]]="Co-Product"), Table118[[#This Row],[Resource]], "")</calculatedColumnFormula>
    </tableColumn>
    <tableColumn id="13" xr3:uid="{81893D49-C86C-4F80-9700-E526511E25E4}" name="End Use of Incumbent Product" dataDxfId="26">
      <calculatedColumnFormula>IF(_xlfn.XLOOKUP($P6,'SI - End Use'!$B$2:$B$6,'SI - End Use'!$C$2:$C$6, "")="", "", _xlfn.XLOOKUP($C6,'SI - End Use'!$B$2:$B$6,'SI - End Use'!$C$2:$C$6, ""))</calculatedColumnFormula>
    </tableColumn>
    <tableColumn id="20" xr3:uid="{47571D49-FC1B-42DB-B26C-3793F5178067}" name="Surrogate For" dataDxfId="25"/>
    <tableColumn id="18" xr3:uid="{89E0754C-DCAC-4403-9BBD-688620AD0B64}" name="Process" dataDxfId="24"/>
    <tableColumn id="11" xr3:uid="{4476C099-2AA4-49F7-9B86-565AD127C13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A8ECFC-81F1-4208-A36C-287BF12FC22D}" name="Table119" displayName="Table119" ref="A5:T100" totalsRowShown="0" headerRowDxfId="22" dataDxfId="21" tableBorderDxfId="20" dataCellStyle="Percent">
  <autoFilter ref="A5:T100" xr:uid="{1644AED8-49DE-4A1D-989C-1566C9A522B9}"/>
  <tableColumns count="20">
    <tableColumn id="1" xr3:uid="{E00E5DDB-68CE-4ED7-A4E8-B81F1BDF0E3F}" name="Type" dataDxfId="19"/>
    <tableColumn id="2" xr3:uid="{8F2A0C57-4BA2-4856-86A8-2FC0A8969DE6}" name="Category" dataDxfId="18"/>
    <tableColumn id="3" xr3:uid="{868A03EB-EED4-4202-B00E-8390F0E5D224}" name="Resource" dataDxfId="17">
      <calculatedColumnFormula>_xlfn.XLOOKUP($B6,'SI - Resources'!$A$1:$J$1,'SI - Resources'!$A$2:$J$2, "")</calculatedColumnFormula>
    </tableColumn>
    <tableColumn id="4" xr3:uid="{6B0B317D-ACC2-4BEC-8E3D-F121657C39EA}" name="End Use" dataDxfId="16">
      <calculatedColumnFormula>IF(_xlfn.XLOOKUP($C6,'SI - End Use'!$B$2:$B$6,'SI - End Use'!$C$2:$C$6, "")="", "", _xlfn.XLOOKUP($C6,'SI - End Use'!$B$2:$B$6,'SI - End Use'!$C$2:$C$6, ""))</calculatedColumnFormula>
    </tableColumn>
    <tableColumn id="5" xr3:uid="{B241C7B3-7E77-427D-85CD-C9986188C575}" name="Amount" dataDxfId="15" dataCellStyle="Comma"/>
    <tableColumn id="6" xr3:uid="{CC2C425F-C296-4ECC-9550-B4F8DE0105EA}" name="Unit" dataDxfId="14">
      <calculatedColumnFormula array="1">IF($B6="Transportation",  'SI - Units'!$B$9:$B$9, _xlfn.XLOOKUP(_xlfn.XLOOKUP($C6,'SI - Units'!$B$24:$B$109,'SI - Units'!$C$24:$C$109, ""),'SI - Units'!$A$2:$A$8,'SI - Units'!$B$2:$B$8, ""))</calculatedColumnFormula>
    </tableColumn>
    <tableColumn id="7" xr3:uid="{E90FF7CC-9914-46BD-B8B2-AB903DDAAACE}" name="Moisture" dataDxfId="13" dataCellStyle="Percent"/>
    <tableColumn id="8" xr3:uid="{B8318CE6-9987-4F46-A01A-C8C66EE1BFBB}" name="Previous Stage" dataDxfId="12" dataCellStyle="Percent"/>
    <tableColumn id="9" xr3:uid="{7DE5A871-6643-456E-819B-3F3CC7BC457B}" name="Always Use Displacement Method for Co-Product?" dataDxfId="11" dataCellStyle="Percent">
      <calculatedColumnFormula>IF(Table119[[#This Row],[Type]]="Co-product", "No", "")</calculatedColumnFormula>
    </tableColumn>
    <tableColumn id="19" xr3:uid="{60F733CC-8C2E-4274-81A8-CDE92FC03837}" name="Urban Share" dataDxfId="10" dataCellStyle="Percent"/>
    <tableColumn id="10" xr3:uid="{D27FFFDB-43D4-48D1-80B6-0485C53BAFDA}" name="Product Train" dataDxfId="9"/>
    <tableColumn id="14" xr3:uid="{06BA225A-F395-475C-9FB4-92803F737694}" name="Payload" dataDxfId="1">
      <calculatedColumnFormula>IF([2]!Table13[[#This Row],[Category]]="Transportation", _xlfn.XLOOKUP([2]!Table13[[#This Row],[Resource]], '[2]SI - Payload'!$A$10:$A$40,'[2]SI - Payload'!$B$10:$B$40,"",0), "")</calculatedColumnFormula>
    </tableColumn>
    <tableColumn id="15" xr3:uid="{F7698AEF-3D74-49BA-96A8-DC0F53066DDA}" name="Payload Unit" dataDxfId="0">
      <calculatedColumnFormula>IF([2]!Table13[[#This Row],[Category]]="Transportation", "ton", "")</calculatedColumnFormula>
    </tableColumn>
    <tableColumn id="16" xr3:uid="{A123F741-ADC8-4AE0-BD5B-48630E7B7CAA}" name="Market Price" dataDxfId="8"/>
    <tableColumn id="17" xr3:uid="{7B8DDFA4-29AA-4AAA-B183-3C34F4BE50BE}" name="Market Price Unit" dataDxfId="7"/>
    <tableColumn id="12" xr3:uid="{08C10510-49FC-4248-B8A4-7A2DE18AFDEA}" name="Incumbent Product" dataDxfId="6">
      <calculatedColumnFormula>IF(OR(Table119[[#This Row],[Type]]="Main Product", Table119[[#This Row],[Type]]="Co-Product"), Table119[[#This Row],[Resource]], "")</calculatedColumnFormula>
    </tableColumn>
    <tableColumn id="13" xr3:uid="{20131732-3523-4917-AFC0-6CCC77B9096C}" name="End Use of Incumbent Product" dataDxfId="5">
      <calculatedColumnFormula>IF(_xlfn.XLOOKUP($P6,'SI - End Use'!$B$2:$B$6,'SI - End Use'!$C$2:$C$6, "")="", "", _xlfn.XLOOKUP($C6,'SI - End Use'!$B$2:$B$6,'SI - End Use'!$C$2:$C$6, ""))</calculatedColumnFormula>
    </tableColumn>
    <tableColumn id="20" xr3:uid="{B2C399B3-1706-41E9-B4EB-F51679EA0764}" name="Surrogate For" dataDxfId="4"/>
    <tableColumn id="18" xr3:uid="{83A96D8E-8134-4136-B5F9-2A52459B255B}" name="Process" dataDxfId="3"/>
    <tableColumn id="11" xr3:uid="{027CCC5C-A312-4117-BE69-82EF1D9ADDB7}" name="Not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5" t="s">
        <v>261</v>
      </c>
      <c r="B2" s="75"/>
    </row>
    <row r="3" spans="1:3" ht="29.15" customHeight="1" x14ac:dyDescent="0.35">
      <c r="A3" s="77" t="s">
        <v>274</v>
      </c>
      <c r="B3" s="77"/>
    </row>
    <row r="4" spans="1:3" ht="28" customHeight="1" x14ac:dyDescent="0.35">
      <c r="A4" s="19"/>
      <c r="B4" s="19"/>
    </row>
    <row r="5" spans="1:3" ht="28" customHeight="1" x14ac:dyDescent="0.35">
      <c r="A5" s="76" t="s">
        <v>260</v>
      </c>
      <c r="B5" s="76"/>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79" t="s">
        <v>338</v>
      </c>
      <c r="C1" s="79"/>
      <c r="D1" s="62" t="s">
        <v>339</v>
      </c>
      <c r="E1" s="62" t="s">
        <v>340</v>
      </c>
      <c r="F1" s="62" t="s">
        <v>341</v>
      </c>
      <c r="G1" s="62" t="s">
        <v>342</v>
      </c>
      <c r="H1" s="62" t="s">
        <v>343</v>
      </c>
    </row>
    <row r="2" spans="1:8" x14ac:dyDescent="0.35">
      <c r="A2" s="62" t="s">
        <v>344</v>
      </c>
      <c r="B2" s="78">
        <v>89.04</v>
      </c>
      <c r="C2" s="78"/>
      <c r="D2" s="64">
        <v>1</v>
      </c>
      <c r="E2" s="63"/>
      <c r="F2" s="63"/>
      <c r="G2" s="65">
        <v>0.3</v>
      </c>
      <c r="H2" s="65">
        <v>0</v>
      </c>
    </row>
    <row r="3" spans="1:8" x14ac:dyDescent="0.35">
      <c r="A3" s="62" t="s">
        <v>345</v>
      </c>
      <c r="B3" s="80">
        <v>23.19</v>
      </c>
      <c r="C3" s="81"/>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2" t="s">
        <v>349</v>
      </c>
      <c r="C8" s="82"/>
      <c r="D8" s="69" t="s">
        <v>339</v>
      </c>
      <c r="E8" s="69" t="s">
        <v>340</v>
      </c>
      <c r="F8" s="69" t="s">
        <v>341</v>
      </c>
      <c r="G8" s="69" t="s">
        <v>342</v>
      </c>
      <c r="H8" s="62" t="s">
        <v>343</v>
      </c>
    </row>
    <row r="9" spans="1:8" x14ac:dyDescent="0.35">
      <c r="A9" s="62" t="s">
        <v>350</v>
      </c>
      <c r="B9" s="78">
        <v>10.92</v>
      </c>
      <c r="C9" s="78"/>
      <c r="D9" s="63"/>
      <c r="E9" s="64">
        <v>1</v>
      </c>
      <c r="F9" s="63"/>
      <c r="G9" s="71">
        <v>0.11409999999999999</v>
      </c>
      <c r="H9" s="71">
        <v>8.1557678177810455E-2</v>
      </c>
    </row>
    <row r="10" spans="1:8" x14ac:dyDescent="0.35">
      <c r="A10" s="62" t="s">
        <v>351</v>
      </c>
      <c r="B10" s="78">
        <v>289.14999999999998</v>
      </c>
      <c r="C10" s="78"/>
      <c r="D10" s="63"/>
      <c r="E10" s="64">
        <v>1</v>
      </c>
      <c r="F10" s="63"/>
      <c r="G10" s="71">
        <v>0.11409999999999999</v>
      </c>
      <c r="H10" s="71">
        <v>0.02</v>
      </c>
    </row>
    <row r="11" spans="1:8" x14ac:dyDescent="0.35">
      <c r="A11" s="62" t="s">
        <v>352</v>
      </c>
      <c r="B11" s="78">
        <v>7.72</v>
      </c>
      <c r="C11" s="78"/>
      <c r="D11" s="72">
        <v>0.89500000000000002</v>
      </c>
      <c r="E11" s="72">
        <f>1-D11</f>
        <v>0.10499999999999998</v>
      </c>
      <c r="F11" s="63"/>
      <c r="G11" s="71">
        <v>0.11409999999999999</v>
      </c>
      <c r="H11" s="71">
        <v>0</v>
      </c>
    </row>
    <row r="12" spans="1:8" x14ac:dyDescent="0.35">
      <c r="A12" s="62" t="s">
        <v>353</v>
      </c>
      <c r="B12" s="78">
        <v>0</v>
      </c>
      <c r="C12" s="78"/>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0FAA-E641-404C-A421-3A78F186968C}">
  <sheetPr codeName="Sheet17"/>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
        <v>337</v>
      </c>
      <c r="J6" s="25"/>
      <c r="K6" s="6"/>
      <c r="L6" s="6" t="s">
        <v>337</v>
      </c>
      <c r="M6" s="6" t="s">
        <v>337</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
        <v>337</v>
      </c>
      <c r="J7" s="25"/>
      <c r="K7" s="6"/>
      <c r="L7" s="6">
        <v>20.889521999999999</v>
      </c>
      <c r="M7" s="6" t="s">
        <v>11</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
        <v>337</v>
      </c>
      <c r="J8" s="25"/>
      <c r="K8" s="6"/>
      <c r="L8" s="6" t="s">
        <v>337</v>
      </c>
      <c r="M8" s="6" t="s">
        <v>337</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90ADB3-9081-425D-9EF9-64C18369DD8C}">
      <formula1>0</formula1>
      <formula2>1</formula2>
    </dataValidation>
    <dataValidation type="list" allowBlank="1" showInputMessage="1" showErrorMessage="1" sqref="M6:M100" xr:uid="{3ACC4B65-9FB2-475C-90AB-BCFC2007D371}">
      <formula1>payload_units</formula1>
    </dataValidation>
    <dataValidation type="decimal" operator="greaterThan" allowBlank="1" showInputMessage="1" showErrorMessage="1" error="Please type a positive number." sqref="L6:L100" xr:uid="{E9D08241-9250-4A61-BFB4-1D32092BFF56}">
      <formula1>0</formula1>
    </dataValidation>
    <dataValidation type="decimal" operator="greaterThan" allowBlank="1" showInputMessage="1" showErrorMessage="1" error="Please type a positive price." sqref="N6:N100" xr:uid="{08D26B39-EADA-4E59-BA58-3A002383150C}">
      <formula1>0</formula1>
    </dataValidation>
    <dataValidation type="decimal" allowBlank="1" showInputMessage="1" showErrorMessage="1" error="Please type a number between 0 and 1." sqref="G6:G100" xr:uid="{D7A7067C-7311-494D-8005-0005F0004B0C}">
      <formula1>0</formula1>
      <formula2>1</formula2>
    </dataValidation>
    <dataValidation type="custom" allowBlank="1" showInputMessage="1" showErrorMessage="1" sqref="E6:E100" xr:uid="{5DD832B7-F7D8-483D-92A1-606D4431810C}">
      <formula1>ISNUMBER(E6)</formula1>
    </dataValidation>
    <dataValidation type="list" allowBlank="1" showInputMessage="1" showErrorMessage="1" sqref="C2" xr:uid="{60A38525-56D6-40E9-9D53-65607BEC982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8367E95-D295-4C25-8EFF-80F5A289D683}">
          <x14:formula1>
            <xm:f>IF($B6="Transportation",  transport_units, INDIRECT(_xlfn.XLOOKUP($C6, 'SI - Units'!$F$26:$F$36,'SI - Units'!$G$26:$G$36,"mass",0)))</xm:f>
          </x14:formula1>
          <xm:sqref>F6:F100</xm:sqref>
        </x14:dataValidation>
        <x14:dataValidation type="list" allowBlank="1" showInputMessage="1" showErrorMessage="1" xr:uid="{03D9C3D3-CE42-4830-BEA0-FD5121D49727}">
          <x14:formula1>
            <xm:f>INDIRECT("p_"&amp;_xlfn.XLOOKUP($C6,'SI - Units'!$F$26:$F$36,'SI - Units'!$G$26:$G$36,"mass",0))</xm:f>
          </x14:formula1>
          <xm:sqref>O6:O100</xm:sqref>
        </x14:dataValidation>
        <x14:dataValidation type="list" allowBlank="1" showInputMessage="1" showErrorMessage="1" xr:uid="{BB28CAF4-CEDF-423B-8037-BBE8CA3D392D}">
          <x14:formula1>
            <xm:f>INDIRECT(_xlfn.XLOOKUP($P6,'SI - End Use'!$A$11:$A$17,'SI - End Use'!$B$11:$B$17,"other_end_use",0))</xm:f>
          </x14:formula1>
          <xm:sqref>Q6:R100</xm:sqref>
        </x14:dataValidation>
        <x14:dataValidation type="list" allowBlank="1" showInputMessage="1" xr:uid="{4D934CEA-E661-40BC-B1AB-D6BF702C2566}">
          <x14:formula1>
            <xm:f>INDIRECT(_xlfn.XLOOKUP($C6,'SI - End Use'!$A$11:$A$17,'SI - End Use'!$B$11:$B$17,"other_end_use",0))</xm:f>
          </x14:formula1>
          <xm:sqref>D6:D100</xm:sqref>
        </x14:dataValidation>
        <x14:dataValidation type="list" allowBlank="1" showInputMessage="1" showErrorMessage="1" xr:uid="{F727D1C1-9498-4802-B2CE-2C3D2D125271}">
          <x14:formula1>
            <xm:f>INDIRECT(_xlfn.XLOOKUP($B6, 'SI - Resources'!$R$1:$R$10,'SI - Resources'!$S$1:$S$10, "placeholder_resource", 0))</xm:f>
          </x14:formula1>
          <xm:sqref>P6:P100 C6:C100</xm:sqref>
        </x14:dataValidation>
        <x14:dataValidation type="list" allowBlank="1" showInputMessage="1" showErrorMessage="1" xr:uid="{97C8AAB4-0211-4405-8A2D-2A78BC7FE099}">
          <x14:formula1>
            <xm:f>'SI - Co-products'!$B$2:$B$6</xm:f>
          </x14:formula1>
          <xm:sqref>A6:A100</xm:sqref>
        </x14:dataValidation>
        <x14:dataValidation type="list" allowBlank="1" showInputMessage="1" showErrorMessage="1" xr:uid="{12CB6850-3D42-467B-94F7-07098C48D306}">
          <x14:formula1>
            <xm:f>'SI - Resources'!$A$1:$J$1</xm:f>
          </x14:formula1>
          <xm:sqref>B6:B100</xm:sqref>
        </x14:dataValidation>
        <x14:dataValidation type="list" allowBlank="1" showInputMessage="1" showErrorMessage="1" xr:uid="{1051C4C5-016C-4EF6-9F3C-9B970FF54B7A}">
          <x14:formula1>
            <xm:f>'SI - Co-products'!$C$2:$C$4</xm:f>
          </x14:formula1>
          <xm:sqref>I6:I100</xm:sqref>
        </x14:dataValidation>
        <x14:dataValidation type="list" allowBlank="1" showInputMessage="1" showErrorMessage="1" xr:uid="{8EFA2C13-5A0F-4C2D-AE9E-04CAD193F2D5}">
          <x14:formula1>
            <xm:f>'SI - Co-products'!$A$2:$A$5</xm:f>
          </x14:formula1>
          <xm:sqref>K6:K100</xm:sqref>
        </x14:dataValidation>
        <x14:dataValidation type="list" allowBlank="1" showInputMessage="1" showErrorMessage="1" xr:uid="{D827D044-FB76-4625-A2C8-D062BB8298FB}">
          <x14:formula1>
            <xm:f>_xlfn.XLOOKUP(_xlfn.XLOOKUP(#REF!,'SI - Units'!$B$24:$B$109,'SI - Units'!$C$24:$C$109),'SI - Units'!$A$2:$A$8,'SI - Units'!$B$2:$R$8)</xm:f>
          </x14:formula1>
          <xm:sqref>F5</xm:sqref>
        </x14:dataValidation>
        <x14:dataValidation type="list" allowBlank="1" showInputMessage="1" showErrorMessage="1" xr:uid="{69741753-A3DA-48B1-9227-B7A1AEEC1AAD}">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4503-AE06-419B-90CE-2242F92D02DA}">
  <sheetPr codeName="Sheet18"/>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tr">
        <f>IF(_xlfn.XLOOKUP($C6,'SI - End Use'!$B$2:$B$6,'SI - End Use'!$C$2:$C$6, "")="", "", _xlfn.XLOOKUP($C6,'SI - End Use'!$B$2:$B$6,'SI - End Use'!$C$2:$C$6, ""))</f>
        <v/>
      </c>
      <c r="E6" s="12">
        <v>104166.667</v>
      </c>
      <c r="F6" s="6" t="s">
        <v>58</v>
      </c>
      <c r="G6" s="25">
        <v>0.2</v>
      </c>
      <c r="H6" s="25" t="s">
        <v>361</v>
      </c>
      <c r="I6" s="26" t="s">
        <v>337</v>
      </c>
      <c r="J6" s="25"/>
      <c r="K6" s="6"/>
      <c r="L6" s="6" t="str">
        <f>IF(Table118[[#This Row],[Category]]="Transportation", _xlfn.XLOOKUP(Table118[[#This Row],[Resource]], 'SI - Payload'!$A$10:$A$40,'SI - Payload'!$B$10:$B$40,"",0), "")</f>
        <v/>
      </c>
      <c r="M6" s="6" t="str">
        <f>IF(Table118[[#This Row],[Category]]="Transportation", "ton", "")</f>
        <v/>
      </c>
      <c r="N6" s="6"/>
      <c r="O6" s="6"/>
      <c r="P6" s="6" t="s">
        <v>337</v>
      </c>
      <c r="Q6" s="6" t="s">
        <v>337</v>
      </c>
      <c r="R6" s="6"/>
      <c r="S6" s="6"/>
      <c r="T6" s="6"/>
    </row>
    <row r="7" spans="1:20" x14ac:dyDescent="0.35">
      <c r="A7" s="6" t="s">
        <v>0</v>
      </c>
      <c r="B7" s="6" t="s">
        <v>37</v>
      </c>
      <c r="C7" s="6" t="s">
        <v>106</v>
      </c>
      <c r="D7" s="6" t="str">
        <f>IF(_xlfn.XLOOKUP($C7,'SI - End Use'!$B$2:$B$6,'SI - End Use'!$C$2:$C$6, "")="", "", _xlfn.XLOOKUP($C7,'SI - End Use'!$B$2:$B$6,'SI - End Use'!$C$2:$C$6, ""))</f>
        <v/>
      </c>
      <c r="E7" s="12">
        <v>11124.174999999999</v>
      </c>
      <c r="F7" s="6" t="s">
        <v>58</v>
      </c>
      <c r="G7" s="25">
        <v>7.0000000000000007E-2</v>
      </c>
      <c r="H7" s="25"/>
      <c r="I7" s="26" t="s">
        <v>337</v>
      </c>
      <c r="J7" s="25"/>
      <c r="K7" s="6"/>
      <c r="L7" s="6" t="str">
        <f>IF(Table118[[#This Row],[Category]]="Transportation", _xlfn.XLOOKUP(Table118[[#This Row],[Resource]], 'SI - Payload'!$A$10:$A$40,'SI - Payload'!$B$10:$B$40,"",0), "")</f>
        <v/>
      </c>
      <c r="M7" s="6" t="str">
        <f>IF(Table118[[#This Row],[Category]]="Transportation", "ton", "")</f>
        <v/>
      </c>
      <c r="N7" s="6"/>
      <c r="O7" s="6"/>
      <c r="P7" s="6" t="s">
        <v>337</v>
      </c>
      <c r="Q7" s="6" t="s">
        <v>337</v>
      </c>
      <c r="R7" s="6"/>
      <c r="S7" s="6"/>
      <c r="T7" s="6"/>
    </row>
    <row r="8" spans="1:20" x14ac:dyDescent="0.35">
      <c r="A8" s="6" t="s">
        <v>0</v>
      </c>
      <c r="B8" s="6" t="s">
        <v>37</v>
      </c>
      <c r="C8" s="6" t="s">
        <v>13</v>
      </c>
      <c r="D8" s="6" t="str">
        <f>IF(_xlfn.XLOOKUP($C8,'SI - End Use'!$B$2:$B$6,'SI - End Use'!$C$2:$C$6, "")="", "", _xlfn.XLOOKUP($C8,'SI - End Use'!$B$2:$B$6,'SI - End Use'!$C$2:$C$6, ""))</f>
        <v/>
      </c>
      <c r="E8" s="12">
        <v>2750</v>
      </c>
      <c r="F8" s="6" t="s">
        <v>58</v>
      </c>
      <c r="G8" s="25"/>
      <c r="H8" s="25"/>
      <c r="I8" s="26" t="s">
        <v>337</v>
      </c>
      <c r="J8" s="25"/>
      <c r="K8" s="6"/>
      <c r="L8" s="6" t="str">
        <f>IF(Table118[[#This Row],[Category]]="Transportation", _xlfn.XLOOKUP(Table118[[#This Row],[Resource]], 'SI - Payload'!$A$10:$A$40,'SI - Payload'!$B$10:$B$40,"",0), "")</f>
        <v/>
      </c>
      <c r="M8" s="6" t="str">
        <f>IF(Table118[[#This Row],[Category]]="Transportation", "ton", "")</f>
        <v/>
      </c>
      <c r="N8" s="6"/>
      <c r="O8" s="6"/>
      <c r="P8" s="6" t="s">
        <v>337</v>
      </c>
      <c r="Q8" s="6" t="s">
        <v>337</v>
      </c>
      <c r="R8" s="6"/>
      <c r="S8" s="6"/>
      <c r="T8" s="6"/>
    </row>
    <row r="9" spans="1:20" x14ac:dyDescent="0.35">
      <c r="A9" s="6" t="s">
        <v>0</v>
      </c>
      <c r="B9" s="6" t="s">
        <v>37</v>
      </c>
      <c r="C9" s="6" t="s">
        <v>26</v>
      </c>
      <c r="D9" s="6" t="str">
        <f>IF(_xlfn.XLOOKUP($C9,'SI - End Use'!$B$2:$B$6,'SI - End Use'!$C$2:$C$6, "")="", "", _xlfn.XLOOKUP($C9,'SI - End Use'!$B$2:$B$6,'SI - End Use'!$C$2:$C$6, ""))</f>
        <v/>
      </c>
      <c r="E9" s="12">
        <v>7499.9999999999991</v>
      </c>
      <c r="F9" s="6" t="s">
        <v>58</v>
      </c>
      <c r="G9" s="25"/>
      <c r="H9" s="25"/>
      <c r="I9" s="26" t="s">
        <v>337</v>
      </c>
      <c r="J9" s="25"/>
      <c r="K9" s="6"/>
      <c r="L9" s="6" t="str">
        <f>IF(Table118[[#This Row],[Category]]="Transportation", _xlfn.XLOOKUP(Table118[[#This Row],[Resource]], 'SI - Payload'!$A$10:$A$40,'SI - Payload'!$B$10:$B$40,"",0), "")</f>
        <v/>
      </c>
      <c r="M9" s="6" t="str">
        <f>IF(Table118[[#This Row],[Category]]="Transportation", "ton", "")</f>
        <v/>
      </c>
      <c r="N9" s="6"/>
      <c r="O9" s="6"/>
      <c r="P9" s="6" t="s">
        <v>337</v>
      </c>
      <c r="Q9" s="6" t="s">
        <v>337</v>
      </c>
      <c r="R9" s="6"/>
      <c r="S9" s="6"/>
      <c r="T9" s="6"/>
    </row>
    <row r="10" spans="1:20" x14ac:dyDescent="0.35">
      <c r="A10" s="6" t="s">
        <v>0</v>
      </c>
      <c r="B10" s="6" t="s">
        <v>245</v>
      </c>
      <c r="C10" s="6" t="s">
        <v>228</v>
      </c>
      <c r="D10" s="6" t="str">
        <f>IF(_xlfn.XLOOKUP($C10,'SI - End Use'!$B$2:$B$6,'SI - End Use'!$C$2:$C$6, "")="", "", _xlfn.XLOOKUP($C10,'SI - End Use'!$B$2:$B$6,'SI - End Use'!$C$2:$C$6, ""))</f>
        <v/>
      </c>
      <c r="E10" s="12">
        <v>3113.2075471698113</v>
      </c>
      <c r="F10" s="6" t="s">
        <v>58</v>
      </c>
      <c r="G10" s="25"/>
      <c r="H10" s="25"/>
      <c r="I10" s="26" t="s">
        <v>337</v>
      </c>
      <c r="J10" s="25"/>
      <c r="K10" s="6"/>
      <c r="L10" s="6" t="str">
        <f>IF(Table118[[#This Row],[Category]]="Transportation", _xlfn.XLOOKUP(Table118[[#This Row],[Resource]], 'SI - Payload'!$A$10:$A$40,'SI - Payload'!$B$10:$B$40,"",0), "")</f>
        <v/>
      </c>
      <c r="M10" s="6" t="str">
        <f>IF(Table118[[#This Row],[Category]]="Transportation", "ton", "")</f>
        <v/>
      </c>
      <c r="N10" s="6"/>
      <c r="O10" s="6"/>
      <c r="P10" s="6" t="s">
        <v>337</v>
      </c>
      <c r="Q10" s="6" t="s">
        <v>337</v>
      </c>
      <c r="R10" s="6"/>
      <c r="S10" s="6"/>
      <c r="T10" s="6" t="s">
        <v>363</v>
      </c>
    </row>
    <row r="11" spans="1:20" x14ac:dyDescent="0.35">
      <c r="A11" s="6" t="s">
        <v>0</v>
      </c>
      <c r="B11" s="6" t="s">
        <v>37</v>
      </c>
      <c r="C11" s="6" t="s">
        <v>14</v>
      </c>
      <c r="D11" s="6" t="str">
        <f>IF(_xlfn.XLOOKUP($C11,'SI - End Use'!$B$2:$B$6,'SI - End Use'!$C$2:$C$6, "")="", "", _xlfn.XLOOKUP($C11,'SI - End Use'!$B$2:$B$6,'SI - End Use'!$C$2:$C$6, ""))</f>
        <v/>
      </c>
      <c r="E11" s="12">
        <v>1058.6775635872239</v>
      </c>
      <c r="F11" s="6" t="s">
        <v>58</v>
      </c>
      <c r="G11" s="25"/>
      <c r="H11" s="25"/>
      <c r="I11" s="26" t="s">
        <v>337</v>
      </c>
      <c r="J11" s="25"/>
      <c r="K11" s="6"/>
      <c r="L11" s="6" t="str">
        <f>IF(Table118[[#This Row],[Category]]="Transportation", _xlfn.XLOOKUP(Table118[[#This Row],[Resource]], 'SI - Payload'!$A$10:$A$40,'SI - Payload'!$B$10:$B$40,"",0), "")</f>
        <v/>
      </c>
      <c r="M11" s="6" t="str">
        <f>IF(Table118[[#This Row],[Category]]="Transportation", "ton", "")</f>
        <v/>
      </c>
      <c r="N11" s="6"/>
      <c r="O11" s="6"/>
      <c r="P11" s="6" t="s">
        <v>337</v>
      </c>
      <c r="Q11" s="6" t="s">
        <v>337</v>
      </c>
      <c r="R11" s="6"/>
      <c r="S11" s="6"/>
      <c r="T11" s="6"/>
    </row>
    <row r="12" spans="1:20" x14ac:dyDescent="0.35">
      <c r="A12" s="6" t="s">
        <v>0</v>
      </c>
      <c r="B12" s="6" t="s">
        <v>37</v>
      </c>
      <c r="C12" s="6" t="s">
        <v>19</v>
      </c>
      <c r="D12" s="6" t="str">
        <f>IF(_xlfn.XLOOKUP($C12,'SI - End Use'!$B$2:$B$6,'SI - End Use'!$C$2:$C$6, "")="", "", _xlfn.XLOOKUP($C12,'SI - End Use'!$B$2:$B$6,'SI - End Use'!$C$2:$C$6, ""))</f>
        <v/>
      </c>
      <c r="E12" s="12">
        <v>1335.9596300000001</v>
      </c>
      <c r="F12" s="6" t="s">
        <v>58</v>
      </c>
      <c r="G12" s="25"/>
      <c r="H12" s="25"/>
      <c r="I12" s="26" t="s">
        <v>337</v>
      </c>
      <c r="J12" s="25"/>
      <c r="K12" s="6"/>
      <c r="L12" s="6" t="str">
        <f>IF(Table118[[#This Row],[Category]]="Transportation", _xlfn.XLOOKUP(Table118[[#This Row],[Resource]], 'SI - Payload'!$A$10:$A$40,'SI - Payload'!$B$10:$B$40,"",0), "")</f>
        <v/>
      </c>
      <c r="M12" s="6" t="str">
        <f>IF(Table118[[#This Row],[Category]]="Transportation", "ton", "")</f>
        <v/>
      </c>
      <c r="N12" s="6"/>
      <c r="O12" s="6"/>
      <c r="P12" s="6" t="s">
        <v>337</v>
      </c>
      <c r="Q12" s="6" t="s">
        <v>337</v>
      </c>
      <c r="R12" s="6"/>
      <c r="S12" s="6"/>
      <c r="T12" s="6"/>
    </row>
    <row r="13" spans="1:20" x14ac:dyDescent="0.35">
      <c r="A13" s="6" t="s">
        <v>0</v>
      </c>
      <c r="B13" s="6" t="s">
        <v>37</v>
      </c>
      <c r="C13" s="6" t="s">
        <v>15</v>
      </c>
      <c r="D13" s="6" t="str">
        <f>IF(_xlfn.XLOOKUP($C13,'SI - End Use'!$B$2:$B$6,'SI - End Use'!$C$2:$C$6, "")="", "", _xlfn.XLOOKUP($C13,'SI - End Use'!$B$2:$B$6,'SI - End Use'!$C$2:$C$6, ""))</f>
        <v/>
      </c>
      <c r="E13" s="12">
        <v>928.97244530000012</v>
      </c>
      <c r="F13" s="6" t="s">
        <v>58</v>
      </c>
      <c r="G13" s="25"/>
      <c r="H13" s="25"/>
      <c r="I13" s="26" t="s">
        <v>337</v>
      </c>
      <c r="J13" s="25"/>
      <c r="K13" s="6"/>
      <c r="L13" s="6" t="str">
        <f>IF(Table118[[#This Row],[Category]]="Transportation", _xlfn.XLOOKUP(Table118[[#This Row],[Resource]], 'SI - Payload'!$A$10:$A$40,'SI - Payload'!$B$10:$B$40,"",0), "")</f>
        <v/>
      </c>
      <c r="M13" s="6" t="str">
        <f>IF(Table118[[#This Row],[Category]]="Transportation", "ton", "")</f>
        <v/>
      </c>
      <c r="N13" s="6"/>
      <c r="O13" s="6"/>
      <c r="P13" s="6" t="s">
        <v>337</v>
      </c>
      <c r="Q13" s="6" t="s">
        <v>337</v>
      </c>
      <c r="R13" s="6"/>
      <c r="S13" s="6"/>
      <c r="T13" s="6"/>
    </row>
    <row r="14" spans="1:20" x14ac:dyDescent="0.35">
      <c r="A14" s="6" t="s">
        <v>0</v>
      </c>
      <c r="B14" s="6" t="s">
        <v>37</v>
      </c>
      <c r="C14" s="6" t="s">
        <v>17</v>
      </c>
      <c r="D14" s="6" t="str">
        <f>IF(_xlfn.XLOOKUP($C14,'SI - End Use'!$B$2:$B$6,'SI - End Use'!$C$2:$C$6, "")="", "", _xlfn.XLOOKUP($C14,'SI - End Use'!$B$2:$B$6,'SI - End Use'!$C$2:$C$6, ""))</f>
        <v/>
      </c>
      <c r="E14" s="12">
        <v>7.3804090899999997</v>
      </c>
      <c r="F14" s="6" t="s">
        <v>58</v>
      </c>
      <c r="G14" s="25"/>
      <c r="H14" s="25"/>
      <c r="I14" s="26" t="s">
        <v>337</v>
      </c>
      <c r="J14" s="25"/>
      <c r="K14" s="6"/>
      <c r="L14" s="6" t="str">
        <f>IF(Table118[[#This Row],[Category]]="Transportation", _xlfn.XLOOKUP(Table118[[#This Row],[Resource]], 'SI - Payload'!$A$10:$A$40,'SI - Payload'!$B$10:$B$40,"",0), "")</f>
        <v/>
      </c>
      <c r="M14" s="6" t="str">
        <f>IF(Table118[[#This Row],[Category]]="Transportation", "ton", "")</f>
        <v/>
      </c>
      <c r="N14" s="6"/>
      <c r="O14" s="6"/>
      <c r="P14" s="6" t="s">
        <v>337</v>
      </c>
      <c r="Q14" s="6" t="s">
        <v>337</v>
      </c>
      <c r="R14" s="6"/>
      <c r="S14" s="6"/>
      <c r="T14" s="6"/>
    </row>
    <row r="15" spans="1:20" x14ac:dyDescent="0.35">
      <c r="A15" s="6" t="s">
        <v>0</v>
      </c>
      <c r="B15" s="6" t="s">
        <v>37</v>
      </c>
      <c r="C15" s="6" t="s">
        <v>20</v>
      </c>
      <c r="D15" s="6" t="str">
        <f>IF(_xlfn.XLOOKUP($C15,'SI - End Use'!$B$2:$B$6,'SI - End Use'!$C$2:$C$6, "")="", "", _xlfn.XLOOKUP($C15,'SI - End Use'!$B$2:$B$6,'SI - End Use'!$C$2:$C$6, ""))</f>
        <v/>
      </c>
      <c r="E15" s="12">
        <v>37.2129835</v>
      </c>
      <c r="F15" s="6" t="s">
        <v>58</v>
      </c>
      <c r="G15" s="25"/>
      <c r="H15" s="25"/>
      <c r="I15" s="26" t="s">
        <v>337</v>
      </c>
      <c r="J15" s="25"/>
      <c r="K15" s="6"/>
      <c r="L15" s="6" t="str">
        <f>IF(Table118[[#This Row],[Category]]="Transportation", _xlfn.XLOOKUP(Table118[[#This Row],[Resource]], 'SI - Payload'!$A$10:$A$40,'SI - Payload'!$B$10:$B$40,"",0), "")</f>
        <v/>
      </c>
      <c r="M15" s="6" t="str">
        <f>IF(Table118[[#This Row],[Category]]="Transportation", "ton", "")</f>
        <v/>
      </c>
      <c r="N15" s="6"/>
      <c r="O15" s="6"/>
      <c r="P15" s="6" t="s">
        <v>337</v>
      </c>
      <c r="Q15" s="6" t="s">
        <v>337</v>
      </c>
      <c r="R15" s="6"/>
      <c r="S15" s="6"/>
      <c r="T15" s="6"/>
    </row>
    <row r="16" spans="1:20" x14ac:dyDescent="0.35">
      <c r="A16" s="6" t="s">
        <v>0</v>
      </c>
      <c r="B16" s="6" t="s">
        <v>37</v>
      </c>
      <c r="C16" s="6" t="s">
        <v>21</v>
      </c>
      <c r="D16" s="6" t="str">
        <f>IF(_xlfn.XLOOKUP($C16,'SI - End Use'!$B$2:$B$6,'SI - End Use'!$C$2:$C$6, "")="", "", _xlfn.XLOOKUP($C16,'SI - End Use'!$B$2:$B$6,'SI - End Use'!$C$2:$C$6, ""))</f>
        <v/>
      </c>
      <c r="E16" s="12">
        <v>9.0697912299999999</v>
      </c>
      <c r="F16" s="6" t="s">
        <v>58</v>
      </c>
      <c r="G16" s="25"/>
      <c r="H16" s="25"/>
      <c r="I16" s="26" t="s">
        <v>337</v>
      </c>
      <c r="J16" s="25"/>
      <c r="K16" s="6"/>
      <c r="L16" s="6" t="str">
        <f>IF(Table118[[#This Row],[Category]]="Transportation", _xlfn.XLOOKUP(Table118[[#This Row],[Resource]], 'SI - Payload'!$A$10:$A$40,'SI - Payload'!$B$10:$B$40,"",0), "")</f>
        <v/>
      </c>
      <c r="M16" s="6" t="str">
        <f>IF(Table118[[#This Row],[Category]]="Transportation", "ton", "")</f>
        <v/>
      </c>
      <c r="N16" s="6"/>
      <c r="O16" s="6"/>
      <c r="P16" s="6" t="s">
        <v>337</v>
      </c>
      <c r="Q16" s="6" t="s">
        <v>337</v>
      </c>
      <c r="R16" s="6"/>
      <c r="S16" s="6"/>
      <c r="T16" s="6"/>
    </row>
    <row r="17" spans="1:20" x14ac:dyDescent="0.35">
      <c r="A17" s="6" t="s">
        <v>0</v>
      </c>
      <c r="B17" s="6" t="s">
        <v>37</v>
      </c>
      <c r="C17" s="6" t="s">
        <v>16</v>
      </c>
      <c r="D17" s="6" t="str">
        <f>IF(_xlfn.XLOOKUP($C17,'SI - End Use'!$B$2:$B$6,'SI - End Use'!$C$2:$C$6, "")="", "", _xlfn.XLOOKUP($C17,'SI - End Use'!$B$2:$B$6,'SI - End Use'!$C$2:$C$6, ""))</f>
        <v/>
      </c>
      <c r="E17" s="12">
        <v>103.752188</v>
      </c>
      <c r="F17" s="6" t="s">
        <v>58</v>
      </c>
      <c r="G17" s="25"/>
      <c r="H17" s="25"/>
      <c r="I17" s="26" t="s">
        <v>337</v>
      </c>
      <c r="J17" s="25"/>
      <c r="K17" s="6"/>
      <c r="L17" s="6" t="str">
        <f>IF(Table118[[#This Row],[Category]]="Transportation", _xlfn.XLOOKUP(Table118[[#This Row],[Resource]], 'SI - Payload'!$A$10:$A$40,'SI - Payload'!$B$10:$B$40,"",0), "")</f>
        <v/>
      </c>
      <c r="M17" s="6" t="str">
        <f>IF(Table118[[#This Row],[Category]]="Transportation", "ton", "")</f>
        <v/>
      </c>
      <c r="N17" s="6"/>
      <c r="O17" s="6"/>
      <c r="P17" s="6" t="s">
        <v>337</v>
      </c>
      <c r="Q17" s="6" t="s">
        <v>337</v>
      </c>
      <c r="R17" s="6"/>
      <c r="S17" s="6"/>
      <c r="T17" s="6"/>
    </row>
    <row r="18" spans="1:20" x14ac:dyDescent="0.35">
      <c r="A18" s="6" t="s">
        <v>0</v>
      </c>
      <c r="B18" s="6" t="s">
        <v>37</v>
      </c>
      <c r="C18" s="6" t="s">
        <v>18</v>
      </c>
      <c r="D18" s="6" t="str">
        <f>IF(_xlfn.XLOOKUP($C18,'SI - End Use'!$B$2:$B$6,'SI - End Use'!$C$2:$C$6, "")="", "", _xlfn.XLOOKUP($C18,'SI - End Use'!$B$2:$B$6,'SI - End Use'!$C$2:$C$6, ""))</f>
        <v/>
      </c>
      <c r="E18" s="12">
        <v>432.94057800000002</v>
      </c>
      <c r="F18" s="6" t="s">
        <v>58</v>
      </c>
      <c r="G18" s="25"/>
      <c r="H18" s="25"/>
      <c r="I18" s="26" t="s">
        <v>337</v>
      </c>
      <c r="J18" s="25"/>
      <c r="K18" s="6"/>
      <c r="L18" s="6" t="str">
        <f>IF(Table118[[#This Row],[Category]]="Transportation", _xlfn.XLOOKUP(Table118[[#This Row],[Resource]], 'SI - Payload'!$A$10:$A$40,'SI - Payload'!$B$10:$B$40,"",0), "")</f>
        <v/>
      </c>
      <c r="M18" s="6" t="str">
        <f>IF(Table118[[#This Row],[Category]]="Transportation", "ton", "")</f>
        <v/>
      </c>
      <c r="N18" s="6"/>
      <c r="O18" s="6"/>
      <c r="P18" s="6" t="s">
        <v>337</v>
      </c>
      <c r="Q18" s="6" t="s">
        <v>337</v>
      </c>
      <c r="R18" s="6"/>
      <c r="S18" s="6"/>
      <c r="T18" s="6"/>
    </row>
    <row r="19" spans="1:20" x14ac:dyDescent="0.35">
      <c r="A19" s="6" t="s">
        <v>0</v>
      </c>
      <c r="B19" s="6" t="s">
        <v>244</v>
      </c>
      <c r="C19" s="6" t="s">
        <v>22</v>
      </c>
      <c r="D19" s="6" t="str">
        <f>IF(_xlfn.XLOOKUP($C19,'SI - End Use'!$B$2:$B$6,'SI - End Use'!$C$2:$C$6, "")="", "", _xlfn.XLOOKUP($C19,'SI - End Use'!$B$2:$B$6,'SI - End Use'!$C$2:$C$6, ""))</f>
        <v/>
      </c>
      <c r="E19" s="12">
        <v>944.87136399999997</v>
      </c>
      <c r="F19" s="6" t="s">
        <v>58</v>
      </c>
      <c r="G19" s="25"/>
      <c r="H19" s="25"/>
      <c r="I19" s="26" t="s">
        <v>337</v>
      </c>
      <c r="J19" s="25"/>
      <c r="K19" s="6"/>
      <c r="L19" s="6" t="str">
        <f>IF(Table118[[#This Row],[Category]]="Transportation", _xlfn.XLOOKUP(Table118[[#This Row],[Resource]], 'SI - Payload'!$A$10:$A$40,'SI - Payload'!$B$10:$B$40,"",0), "")</f>
        <v/>
      </c>
      <c r="M19" s="6" t="str">
        <f>IF(Table118[[#This Row],[Category]]="Transportation", "ton", "")</f>
        <v/>
      </c>
      <c r="N19" s="6"/>
      <c r="O19" s="6"/>
      <c r="P19" s="6" t="s">
        <v>337</v>
      </c>
      <c r="Q19" s="6" t="s">
        <v>337</v>
      </c>
      <c r="R19" s="6"/>
      <c r="S19" s="6"/>
      <c r="T19" s="6"/>
    </row>
    <row r="20" spans="1:20" x14ac:dyDescent="0.35">
      <c r="A20" s="6" t="s">
        <v>0</v>
      </c>
      <c r="B20" s="6" t="s">
        <v>37</v>
      </c>
      <c r="C20" s="6" t="s">
        <v>36</v>
      </c>
      <c r="D20" s="6" t="str">
        <f>IF(_xlfn.XLOOKUP($C20,'SI - End Use'!$B$2:$B$6,'SI - End Use'!$C$2:$C$6, "")="", "", _xlfn.XLOOKUP($C20,'SI - End Use'!$B$2:$B$6,'SI - End Use'!$C$2:$C$6, ""))</f>
        <v/>
      </c>
      <c r="E20" s="12">
        <v>0.26026539599999998</v>
      </c>
      <c r="F20" s="6" t="s">
        <v>58</v>
      </c>
      <c r="G20" s="25"/>
      <c r="H20" s="25"/>
      <c r="I20" s="26" t="s">
        <v>337</v>
      </c>
      <c r="J20" s="25"/>
      <c r="K20" s="6"/>
      <c r="L20" s="6" t="str">
        <f>IF(Table118[[#This Row],[Category]]="Transportation", _xlfn.XLOOKUP(Table118[[#This Row],[Resource]], 'SI - Payload'!$A$10:$A$40,'SI - Payload'!$B$10:$B$40,"",0), "")</f>
        <v/>
      </c>
      <c r="M20" s="6" t="str">
        <f>IF(Table118[[#This Row],[Category]]="Transportation", "ton", "")</f>
        <v/>
      </c>
      <c r="N20" s="6"/>
      <c r="O20" s="6"/>
      <c r="P20" s="6" t="s">
        <v>337</v>
      </c>
      <c r="Q20" s="6" t="s">
        <v>337</v>
      </c>
      <c r="R20" s="6"/>
      <c r="S20" s="6"/>
      <c r="T20" s="6"/>
    </row>
    <row r="21" spans="1:20" x14ac:dyDescent="0.35">
      <c r="A21" s="6" t="s">
        <v>0</v>
      </c>
      <c r="B21" s="6" t="s">
        <v>37</v>
      </c>
      <c r="C21" s="6" t="s">
        <v>23</v>
      </c>
      <c r="D21" s="6" t="str">
        <f>IF(_xlfn.XLOOKUP($C21,'SI - End Use'!$B$2:$B$6,'SI - End Use'!$C$2:$C$6, "")="", "", _xlfn.XLOOKUP($C21,'SI - End Use'!$B$2:$B$6,'SI - End Use'!$C$2:$C$6, ""))</f>
        <v/>
      </c>
      <c r="E21" s="12">
        <v>115.67455300000002</v>
      </c>
      <c r="F21" s="6" t="s">
        <v>58</v>
      </c>
      <c r="G21" s="25"/>
      <c r="H21" s="25"/>
      <c r="I21" s="26" t="s">
        <v>337</v>
      </c>
      <c r="J21" s="25"/>
      <c r="K21" s="6"/>
      <c r="L21" s="6" t="str">
        <f>IF(Table118[[#This Row],[Category]]="Transportation", _xlfn.XLOOKUP(Table118[[#This Row],[Resource]], 'SI - Payload'!$A$10:$A$40,'SI - Payload'!$B$10:$B$40,"",0), "")</f>
        <v/>
      </c>
      <c r="M21" s="6" t="str">
        <f>IF(Table118[[#This Row],[Category]]="Transportation", "ton", "")</f>
        <v/>
      </c>
      <c r="N21" s="6"/>
      <c r="O21" s="6"/>
      <c r="P21" s="6" t="s">
        <v>337</v>
      </c>
      <c r="Q21" s="6" t="s">
        <v>337</v>
      </c>
      <c r="R21" s="6"/>
      <c r="S21" s="6"/>
      <c r="T21" s="6"/>
    </row>
    <row r="22" spans="1:20" x14ac:dyDescent="0.35">
      <c r="A22" s="6" t="s">
        <v>0</v>
      </c>
      <c r="B22" s="6" t="s">
        <v>37</v>
      </c>
      <c r="C22" s="6" t="s">
        <v>233</v>
      </c>
      <c r="D22" s="6" t="str">
        <f>IF(_xlfn.XLOOKUP($C22,'SI - End Use'!$B$2:$B$6,'SI - End Use'!$C$2:$C$6, "")="", "", _xlfn.XLOOKUP($C22,'SI - End Use'!$B$2:$B$6,'SI - End Use'!$C$2:$C$6, ""))</f>
        <v/>
      </c>
      <c r="E22" s="12">
        <v>30.608723519999998</v>
      </c>
      <c r="F22" s="6" t="s">
        <v>58</v>
      </c>
      <c r="G22" s="25"/>
      <c r="H22" s="25"/>
      <c r="I22" s="26" t="s">
        <v>337</v>
      </c>
      <c r="J22" s="25"/>
      <c r="K22" s="6"/>
      <c r="L22" s="6" t="str">
        <f>IF(Table118[[#This Row],[Category]]="Transportation", _xlfn.XLOOKUP(Table118[[#This Row],[Resource]], 'SI - Payload'!$A$10:$A$40,'SI - Payload'!$B$10:$B$40,"",0), "")</f>
        <v/>
      </c>
      <c r="M22" s="6" t="str">
        <f>IF(Table118[[#This Row],[Category]]="Transportation", "ton", "")</f>
        <v/>
      </c>
      <c r="N22" s="6"/>
      <c r="O22" s="6"/>
      <c r="P22" s="6" t="s">
        <v>337</v>
      </c>
      <c r="Q22" s="6" t="s">
        <v>337</v>
      </c>
      <c r="R22" s="6"/>
      <c r="S22" s="6"/>
      <c r="T22" s="6"/>
    </row>
    <row r="23" spans="1:20" x14ac:dyDescent="0.35">
      <c r="A23" s="6" t="s">
        <v>0</v>
      </c>
      <c r="B23" s="6" t="s">
        <v>37</v>
      </c>
      <c r="C23" s="6" t="s">
        <v>25</v>
      </c>
      <c r="D23" s="6" t="str">
        <f>IF(_xlfn.XLOOKUP($C23,'SI - End Use'!$B$2:$B$6,'SI - End Use'!$C$2:$C$6, "")="", "", _xlfn.XLOOKUP($C23,'SI - End Use'!$B$2:$B$6,'SI - End Use'!$C$2:$C$6, ""))</f>
        <v/>
      </c>
      <c r="E23" s="12">
        <v>1.42288356</v>
      </c>
      <c r="F23" s="6" t="s">
        <v>58</v>
      </c>
      <c r="G23" s="25"/>
      <c r="H23" s="25"/>
      <c r="I23" s="26" t="s">
        <v>337</v>
      </c>
      <c r="J23" s="25"/>
      <c r="K23" s="6"/>
      <c r="L23" s="6" t="str">
        <f>IF(Table118[[#This Row],[Category]]="Transportation", _xlfn.XLOOKUP(Table118[[#This Row],[Resource]], 'SI - Payload'!$A$10:$A$40,'SI - Payload'!$B$10:$B$40,"",0), "")</f>
        <v/>
      </c>
      <c r="M23" s="6" t="str">
        <f>IF(Table118[[#This Row],[Category]]="Transportation", "ton", "")</f>
        <v/>
      </c>
      <c r="N23" s="6"/>
      <c r="O23" s="6"/>
      <c r="P23" s="6" t="s">
        <v>337</v>
      </c>
      <c r="Q23" s="6" t="s">
        <v>337</v>
      </c>
      <c r="R23" s="6"/>
      <c r="S23" s="6"/>
      <c r="T23" s="6"/>
    </row>
    <row r="24" spans="1:20" x14ac:dyDescent="0.35">
      <c r="A24" s="6" t="s">
        <v>0</v>
      </c>
      <c r="B24" s="6" t="s">
        <v>29</v>
      </c>
      <c r="C24" s="6" t="s">
        <v>29</v>
      </c>
      <c r="D24" s="6" t="str">
        <f>IF(_xlfn.XLOOKUP($C24,'SI - End Use'!$B$2:$B$6,'SI - End Use'!$C$2:$C$6, "")="", "", _xlfn.XLOOKUP($C24,'SI - End Use'!$B$2:$B$6,'SI - End Use'!$C$2:$C$6, ""))</f>
        <v/>
      </c>
      <c r="E24" s="12">
        <v>112058.808</v>
      </c>
      <c r="F24" s="6" t="s">
        <v>58</v>
      </c>
      <c r="G24" s="25"/>
      <c r="H24" s="25"/>
      <c r="I24" s="26" t="s">
        <v>337</v>
      </c>
      <c r="J24" s="25"/>
      <c r="K24" s="6"/>
      <c r="L24" s="6" t="str">
        <f>IF(Table118[[#This Row],[Category]]="Transportation", _xlfn.XLOOKUP(Table118[[#This Row],[Resource]], 'SI - Payload'!$A$10:$A$40,'SI - Payload'!$B$10:$B$40,"",0), "")</f>
        <v/>
      </c>
      <c r="M24" s="6" t="str">
        <f>IF(Table118[[#This Row],[Category]]="Transportation", "ton", "")</f>
        <v/>
      </c>
      <c r="N24" s="6"/>
      <c r="O24" s="6"/>
      <c r="P24" s="6" t="s">
        <v>337</v>
      </c>
      <c r="Q24" s="6" t="s">
        <v>337</v>
      </c>
      <c r="R24" s="6"/>
      <c r="S24" s="6"/>
      <c r="T24" s="6"/>
    </row>
    <row r="25" spans="1:20" x14ac:dyDescent="0.35">
      <c r="A25" s="6" t="s">
        <v>0</v>
      </c>
      <c r="B25" s="6" t="s">
        <v>3</v>
      </c>
      <c r="C25" s="6" t="s">
        <v>3</v>
      </c>
      <c r="D25" s="6" t="str">
        <f>IF(_xlfn.XLOOKUP($C25,'SI - End Use'!$B$2:$B$6,'SI - End Use'!$C$2:$C$6, "")="", "", _xlfn.XLOOKUP($C25,'SI - End Use'!$B$2:$B$6,'SI - End Use'!$C$2:$C$6, ""))</f>
        <v>U.S. Mix</v>
      </c>
      <c r="E25" s="12">
        <v>29514.732597000002</v>
      </c>
      <c r="F25" s="6" t="s">
        <v>68</v>
      </c>
      <c r="G25" s="25"/>
      <c r="H25" s="25"/>
      <c r="I25" s="26" t="s">
        <v>337</v>
      </c>
      <c r="J25" s="25"/>
      <c r="K25" s="6"/>
      <c r="L25" s="6" t="str">
        <f>IF(Table118[[#This Row],[Category]]="Transportation", _xlfn.XLOOKUP(Table118[[#This Row],[Resource]], 'SI - Payload'!$A$10:$A$40,'SI - Payload'!$B$10:$B$40,"",0), "")</f>
        <v/>
      </c>
      <c r="M25" s="6" t="str">
        <f>IF(Table118[[#This Row],[Category]]="Transportation", "ton", "")</f>
        <v/>
      </c>
      <c r="N25" s="6"/>
      <c r="O25" s="6"/>
      <c r="P25" s="6" t="s">
        <v>337</v>
      </c>
      <c r="Q25" s="6" t="s">
        <v>337</v>
      </c>
      <c r="R25" s="6"/>
      <c r="S25" s="6"/>
      <c r="T25" s="6"/>
    </row>
    <row r="26" spans="1:20" x14ac:dyDescent="0.35">
      <c r="A26" s="6" t="s">
        <v>113</v>
      </c>
      <c r="B26" s="6" t="s">
        <v>244</v>
      </c>
      <c r="C26" s="6" t="s">
        <v>276</v>
      </c>
      <c r="D26" s="6" t="str">
        <f>IF(_xlfn.XLOOKUP($C26,'SI - End Use'!$B$2:$B$6,'SI - End Use'!$C$2:$C$6, "")="", "", _xlfn.XLOOKUP($C26,'SI - End Use'!$B$2:$B$6,'SI - End Use'!$C$2:$C$6, ""))</f>
        <v/>
      </c>
      <c r="E26" s="12">
        <v>501.452096688746</v>
      </c>
      <c r="F26" s="6" t="s">
        <v>70</v>
      </c>
      <c r="G26" s="25"/>
      <c r="H26" s="25"/>
      <c r="I26" s="26" t="s">
        <v>337</v>
      </c>
      <c r="J26" s="25"/>
      <c r="K26" s="6"/>
      <c r="L26" s="6" t="str">
        <f>IF(Table118[[#This Row],[Category]]="Transportation", _xlfn.XLOOKUP(Table118[[#This Row],[Resource]], 'SI - Payload'!$A$10:$A$40,'SI - Payload'!$B$10:$B$40,"",0), "")</f>
        <v/>
      </c>
      <c r="M26" s="6" t="str">
        <f>IF(Table118[[#This Row],[Category]]="Transportation", "ton", "")</f>
        <v/>
      </c>
      <c r="N26" s="6">
        <v>21.535015935911794</v>
      </c>
      <c r="O26" s="6" t="s">
        <v>362</v>
      </c>
      <c r="P26" s="6" t="s">
        <v>2</v>
      </c>
      <c r="Q26" s="6" t="s">
        <v>83</v>
      </c>
      <c r="R26" s="6"/>
      <c r="S26" s="6"/>
      <c r="T26" s="6"/>
    </row>
    <row r="27" spans="1:20" x14ac:dyDescent="0.35">
      <c r="A27" s="6" t="s">
        <v>85</v>
      </c>
      <c r="B27" s="6" t="s">
        <v>37</v>
      </c>
      <c r="C27" s="6" t="s">
        <v>280</v>
      </c>
      <c r="D27" s="6" t="str">
        <f>IF(_xlfn.XLOOKUP($C27,'SI - End Use'!$B$2:$B$6,'SI - End Use'!$C$2:$C$6, "")="", "", _xlfn.XLOOKUP($C27,'SI - End Use'!$B$2:$B$6,'SI - End Use'!$C$2:$C$6, ""))</f>
        <v/>
      </c>
      <c r="E27" s="12">
        <v>12642.0933</v>
      </c>
      <c r="F27" s="6" t="s">
        <v>58</v>
      </c>
      <c r="G27" s="25"/>
      <c r="H27" s="25"/>
      <c r="I27" s="26" t="s">
        <v>124</v>
      </c>
      <c r="J27" s="25"/>
      <c r="K27" s="6"/>
      <c r="L27" s="6" t="str">
        <f>IF(Table118[[#This Row],[Category]]="Transportation", _xlfn.XLOOKUP(Table118[[#This Row],[Resource]], 'SI - Payload'!$A$10:$A$40,'SI - Payload'!$B$10:$B$40,"",0), "")</f>
        <v/>
      </c>
      <c r="M27" s="6" t="str">
        <f>IF(Table118[[#This Row],[Category]]="Transportation", "ton", "")</f>
        <v/>
      </c>
      <c r="N27" s="6"/>
      <c r="O27" s="6"/>
      <c r="P27" s="6" t="s">
        <v>280</v>
      </c>
      <c r="Q27" s="6" t="s">
        <v>337</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5D82F42-B003-433B-94D9-79778E163486}">
      <formula1>0</formula1>
      <formula2>1</formula2>
    </dataValidation>
    <dataValidation type="list" allowBlank="1" showInputMessage="1" showErrorMessage="1" sqref="M6:M100" xr:uid="{6AB58D59-C3EF-49D5-8360-0E71215BF151}">
      <formula1>payload_units</formula1>
    </dataValidation>
    <dataValidation type="decimal" operator="greaterThan" allowBlank="1" showInputMessage="1" showErrorMessage="1" error="Please type a positive number." sqref="L6:L100" xr:uid="{C6B186CB-337C-4AC6-AD3D-996C8CC1461C}">
      <formula1>0</formula1>
    </dataValidation>
    <dataValidation type="decimal" operator="greaterThan" allowBlank="1" showInputMessage="1" showErrorMessage="1" error="Please type a positive price." sqref="N6:N100" xr:uid="{024AB63A-164F-4E1C-9AC9-623BB0C2F7F1}">
      <formula1>0</formula1>
    </dataValidation>
    <dataValidation type="decimal" allowBlank="1" showInputMessage="1" showErrorMessage="1" error="Please type a number between 0 and 1." sqref="G6:G100" xr:uid="{360AE4A2-E794-4332-8809-C1986CAF5431}">
      <formula1>0</formula1>
      <formula2>1</formula2>
    </dataValidation>
    <dataValidation type="custom" allowBlank="1" showInputMessage="1" showErrorMessage="1" sqref="E6:E100" xr:uid="{C07DD6F7-0C6C-498D-81FE-7453F90E5B34}">
      <formula1>ISNUMBER(E6)</formula1>
    </dataValidation>
    <dataValidation type="list" allowBlank="1" showInputMessage="1" showErrorMessage="1" sqref="C2" xr:uid="{5EACCEBB-7413-4DE1-80D0-F3D562CC373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84E1EAA-45BC-4358-9088-CA5B8E6CE310}">
          <x14:formula1>
            <xm:f>IF($B6="Transportation",  transport_units, INDIRECT(_xlfn.XLOOKUP($C6, 'SI - Units'!$F$26:$F$36,'SI - Units'!$G$26:$G$36,"mass",0)))</xm:f>
          </x14:formula1>
          <xm:sqref>F6:F100</xm:sqref>
        </x14:dataValidation>
        <x14:dataValidation type="list" allowBlank="1" showInputMessage="1" showErrorMessage="1" xr:uid="{73AFF3CC-DFE7-418A-BD88-3783C6D0CE08}">
          <x14:formula1>
            <xm:f>INDIRECT("p_"&amp;_xlfn.XLOOKUP($C6,'SI - Units'!$F$26:$F$36,'SI - Units'!$G$26:$G$36,"mass",0))</xm:f>
          </x14:formula1>
          <xm:sqref>O6:O100</xm:sqref>
        </x14:dataValidation>
        <x14:dataValidation type="list" allowBlank="1" showInputMessage="1" showErrorMessage="1" xr:uid="{923D6D93-A977-4EAF-9168-B79B97294EC2}">
          <x14:formula1>
            <xm:f>INDIRECT(_xlfn.XLOOKUP($P6,'SI - End Use'!$A$11:$A$17,'SI - End Use'!$B$11:$B$17,"other_end_use",0))</xm:f>
          </x14:formula1>
          <xm:sqref>Q6:R100</xm:sqref>
        </x14:dataValidation>
        <x14:dataValidation type="list" allowBlank="1" showInputMessage="1" xr:uid="{4E1F5317-126C-4093-94CD-E4199522AF16}">
          <x14:formula1>
            <xm:f>INDIRECT(_xlfn.XLOOKUP($C6,'SI - End Use'!$A$11:$A$17,'SI - End Use'!$B$11:$B$17,"other_end_use",0))</xm:f>
          </x14:formula1>
          <xm:sqref>D6:D100</xm:sqref>
        </x14:dataValidation>
        <x14:dataValidation type="list" allowBlank="1" showInputMessage="1" showErrorMessage="1" xr:uid="{5A1BE37A-CA6C-46A7-9C6D-FA99E25952AF}">
          <x14:formula1>
            <xm:f>INDIRECT(_xlfn.XLOOKUP($B6, 'SI - Resources'!$R$1:$R$10,'SI - Resources'!$S$1:$S$10, "placeholder_resource", 0))</xm:f>
          </x14:formula1>
          <xm:sqref>P6:P100 C6:C100</xm:sqref>
        </x14:dataValidation>
        <x14:dataValidation type="list" allowBlank="1" showInputMessage="1" showErrorMessage="1" xr:uid="{06099D6C-1A24-4700-A44A-C20099373B39}">
          <x14:formula1>
            <xm:f>'SI - Co-products'!$B$2:$B$6</xm:f>
          </x14:formula1>
          <xm:sqref>A6:A100</xm:sqref>
        </x14:dataValidation>
        <x14:dataValidation type="list" allowBlank="1" showInputMessage="1" showErrorMessage="1" xr:uid="{14B8A0C9-AEA7-4DBF-8DE3-9CB7E281C219}">
          <x14:formula1>
            <xm:f>'SI - Resources'!$A$1:$J$1</xm:f>
          </x14:formula1>
          <xm:sqref>B6:B100</xm:sqref>
        </x14:dataValidation>
        <x14:dataValidation type="list" allowBlank="1" showInputMessage="1" showErrorMessage="1" xr:uid="{866EE3B0-0F4F-4251-9A11-8A4ABE66AC79}">
          <x14:formula1>
            <xm:f>'SI - Co-products'!$C$2:$C$4</xm:f>
          </x14:formula1>
          <xm:sqref>I6:I100</xm:sqref>
        </x14:dataValidation>
        <x14:dataValidation type="list" allowBlank="1" showInputMessage="1" showErrorMessage="1" xr:uid="{FDD2D3E5-4619-4A4D-B436-9D5A5855E4CF}">
          <x14:formula1>
            <xm:f>'SI - Co-products'!$A$2:$A$5</xm:f>
          </x14:formula1>
          <xm:sqref>K6:K100</xm:sqref>
        </x14:dataValidation>
        <x14:dataValidation type="list" allowBlank="1" showInputMessage="1" showErrorMessage="1" xr:uid="{68C3D20B-0B44-4502-A206-78C69A1D98E1}">
          <x14:formula1>
            <xm:f>_xlfn.XLOOKUP(_xlfn.XLOOKUP(#REF!,'SI - Units'!$B$24:$B$109,'SI - Units'!$C$24:$C$109),'SI - Units'!$A$2:$A$8,'SI - Units'!$B$2:$R$8)</xm:f>
          </x14:formula1>
          <xm:sqref>F5</xm:sqref>
        </x14:dataValidation>
        <x14:dataValidation type="list" allowBlank="1" showInputMessage="1" showErrorMessage="1" xr:uid="{ABE96913-CB4A-4E1A-856E-F03C1E3ACCFB}">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F4E39-77AC-49DB-ADAF-DA05F570EDDC}">
  <sheetPr codeName="Sheet19"/>
  <dimension ref="A1:T100"/>
  <sheetViews>
    <sheetView tabSelected="1" workbookViewId="0">
      <pane ySplit="5" topLeftCell="A6" activePane="bottomLeft" state="frozen"/>
      <selection activeCell="C19" sqref="C19"/>
      <selection pane="bottomLeft" activeCell="Q9" sqref="Q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83">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276</v>
      </c>
      <c r="D6" s="6" t="s">
        <v>337</v>
      </c>
      <c r="E6" s="84">
        <v>1.000045143067781</v>
      </c>
      <c r="F6" s="6" t="s">
        <v>70</v>
      </c>
      <c r="G6" s="25"/>
      <c r="H6" s="25" t="s">
        <v>364</v>
      </c>
      <c r="I6" s="26" t="str">
        <f>IF(Table119[[#This Row],[Type]]="Co-product", "No", "")</f>
        <v/>
      </c>
      <c r="J6" s="25"/>
      <c r="K6" s="6"/>
      <c r="L6" s="6" t="str">
        <f>IF([2]!Table13[[#This Row],[Category]]="Transportation", _xlfn.XLOOKUP([2]!Table13[[#This Row],[Resource]], '[2]SI - Payload'!$A$10:$A$40,'[2]SI - Payload'!$B$10:$B$40,"",0), "")</f>
        <v/>
      </c>
      <c r="M6" s="6" t="str">
        <f>IF([2]!Table13[[#This Row],[Category]]="Transportation", "ton", "")</f>
        <v/>
      </c>
      <c r="N6" s="6"/>
      <c r="O6" s="6"/>
      <c r="P6" s="6" t="str">
        <f>IF(OR(Table119[[#This Row],[Type]]="Main Product", Table119[[#This Row],[Type]]="Co-Product"), Table119[[#This Row],[Resource]], "")</f>
        <v/>
      </c>
      <c r="Q6" s="6" t="str">
        <f>IF(_xlfn.XLOOKUP($P6,'SI - End Use'!$B$2:$B$6,'SI - End Use'!$C$2:$C$6, "")="", "", _xlfn.XLOOKUP($C6,'SI - End Use'!$B$2:$B$6,'SI - End Use'!$C$2:$C$6, ""))</f>
        <v/>
      </c>
      <c r="R6" s="6"/>
      <c r="S6" s="6"/>
      <c r="T6" s="6"/>
    </row>
    <row r="7" spans="1:20" x14ac:dyDescent="0.35">
      <c r="A7" s="6" t="s">
        <v>0</v>
      </c>
      <c r="B7" s="6" t="s">
        <v>245</v>
      </c>
      <c r="C7" s="6" t="s">
        <v>218</v>
      </c>
      <c r="D7" s="6" t="s">
        <v>337</v>
      </c>
      <c r="E7" s="74">
        <v>1.087</v>
      </c>
      <c r="F7" s="6" t="s">
        <v>27</v>
      </c>
      <c r="G7" s="25"/>
      <c r="H7" s="25"/>
      <c r="I7" s="26" t="str">
        <f>IF(Table119[[#This Row],[Type]]="Co-product", "No", "")</f>
        <v/>
      </c>
      <c r="J7" s="25">
        <v>0.67</v>
      </c>
      <c r="K7" s="6"/>
      <c r="L7" s="6" t="str">
        <f>IF([2]!Table13[[#This Row],[Category]]="Transportation", _xlfn.XLOOKUP([2]!Table13[[#This Row],[Resource]], '[2]SI - Payload'!$A$10:$A$40,'[2]SI - Payload'!$B$10:$B$40,"",0), "")</f>
        <v/>
      </c>
      <c r="M7" s="6" t="str">
        <f>IF([2]!Table13[[#This Row],[Category]]="Transportation", "ton", "")</f>
        <v/>
      </c>
      <c r="N7" s="6"/>
      <c r="O7" s="6"/>
      <c r="P7" s="6" t="str">
        <f>IF(OR(Table119[[#This Row],[Type]]="Main Product", Table119[[#This Row],[Type]]="Co-Product"), Table119[[#This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IF(Table119[[#This Row],[Type]]="Co-product", "No", "")</f>
        <v/>
      </c>
      <c r="J8" s="25"/>
      <c r="K8" s="6"/>
      <c r="L8" s="6">
        <v>25</v>
      </c>
      <c r="M8" s="6" t="s">
        <v>11</v>
      </c>
      <c r="N8" s="6"/>
      <c r="O8" s="6"/>
      <c r="P8" s="6" t="str">
        <f>IF(OR(Table119[[#This Row],[Type]]="Main Product", Table119[[#This Row],[Type]]="Co-Product"), Table119[[#This Row],[Resource]], "")</f>
        <v/>
      </c>
      <c r="Q8" s="6" t="str">
        <f>IF(_xlfn.XLOOKUP($P8,'SI - End Use'!$B$2:$B$6,'SI - End Use'!$C$2:$C$6, "")="", "", _xlfn.XLOOKUP($C8,'SI - End Use'!$B$2:$B$6,'SI - End Use'!$C$2:$C$6, ""))</f>
        <v/>
      </c>
      <c r="R8" s="6"/>
      <c r="S8" s="6"/>
      <c r="T8" s="6"/>
    </row>
    <row r="9" spans="1:20" x14ac:dyDescent="0.35">
      <c r="A9" s="6" t="s">
        <v>113</v>
      </c>
      <c r="B9" s="6" t="s">
        <v>244</v>
      </c>
      <c r="C9" s="6" t="s">
        <v>276</v>
      </c>
      <c r="D9" s="6" t="s">
        <v>83</v>
      </c>
      <c r="E9" s="12">
        <v>1</v>
      </c>
      <c r="F9" s="6" t="s">
        <v>70</v>
      </c>
      <c r="G9" s="25"/>
      <c r="H9" s="25"/>
      <c r="I9" s="26" t="str">
        <f>IF(Table119[[#This Row],[Type]]="Co-product", "No", "")</f>
        <v/>
      </c>
      <c r="J9" s="25">
        <v>0.7</v>
      </c>
      <c r="K9" s="6"/>
      <c r="L9" s="6" t="str">
        <f>IF([2]!Table13[[#This Row],[Category]]="Transportation", _xlfn.XLOOKUP([2]!Table13[[#This Row],[Resource]], '[2]SI - Payload'!$A$10:$A$40,'[2]SI - Payload'!$B$10:$B$40,"",0), "")</f>
        <v/>
      </c>
      <c r="M9" s="6" t="str">
        <f>IF([2]!Table13[[#This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IF(Table119[[#This Row],[Type]]="Co-product", "No", "")</f>
        <v/>
      </c>
      <c r="J10" s="25"/>
      <c r="K10" s="6"/>
      <c r="L10" s="6" t="str">
        <f>IF([2]!Table13[[#This Row],[Category]]="Transportation", _xlfn.XLOOKUP([2]!Table13[[#This Row],[Resource]], '[2]SI - Payload'!$A$10:$A$40,'[2]SI - Payload'!$B$10:$B$40,"",0), "")</f>
        <v/>
      </c>
      <c r="M10" s="6" t="str">
        <f>IF([2]!Table13[[#This Row],[Category]]="Transportation", "ton", "")</f>
        <v/>
      </c>
      <c r="N10" s="6"/>
      <c r="O10" s="6"/>
      <c r="P10" s="6" t="str">
        <f>IF(OR(Table119[[#This Row],[Type]]="Main Product", Table119[[#This Row],[Type]]="Co-Product"), Table119[[#This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IF(Table119[[#This Row],[Type]]="Co-product", "No", "")</f>
        <v/>
      </c>
      <c r="J11" s="25"/>
      <c r="K11" s="6"/>
      <c r="L11" s="6" t="str">
        <f>IF([2]!Table13[[#This Row],[Category]]="Transportation", _xlfn.XLOOKUP([2]!Table13[[#This Row],[Resource]], '[2]SI - Payload'!$A$10:$A$40,'[2]SI - Payload'!$B$10:$B$40,"",0), "")</f>
        <v/>
      </c>
      <c r="M11" s="6" t="str">
        <f>IF([2]!Table13[[#This Row],[Category]]="Transportation", "ton", "")</f>
        <v/>
      </c>
      <c r="N11" s="6"/>
      <c r="O11" s="6"/>
      <c r="P11" s="6" t="str">
        <f>IF(OR(Table119[[#This Row],[Type]]="Main Product", Table119[[#This Row],[Type]]="Co-Product"), Table119[[#This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IF(Table119[[#This Row],[Type]]="Co-product", "No", "")</f>
        <v/>
      </c>
      <c r="J12" s="25"/>
      <c r="K12" s="6"/>
      <c r="L12" s="6" t="str">
        <f>IF([2]!Table13[[#This Row],[Category]]="Transportation", _xlfn.XLOOKUP([2]!Table13[[#This Row],[Resource]], '[2]SI - Payload'!$A$10:$A$40,'[2]SI - Payload'!$B$10:$B$40,"",0), "")</f>
        <v/>
      </c>
      <c r="M12" s="6" t="str">
        <f>IF([2]!Table13[[#This Row],[Category]]="Transportation", "ton", "")</f>
        <v/>
      </c>
      <c r="N12" s="6"/>
      <c r="O12" s="6"/>
      <c r="P12" s="6" t="str">
        <f>IF(OR(Table119[[#This Row],[Type]]="Main Product", Table119[[#This Row],[Type]]="Co-Product"), Table119[[#This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IF(Table119[[#This Row],[Type]]="Co-product", "No", "")</f>
        <v/>
      </c>
      <c r="J13" s="25"/>
      <c r="K13" s="6"/>
      <c r="L13" s="6" t="str">
        <f>IF([2]!Table13[[#This Row],[Category]]="Transportation", _xlfn.XLOOKUP([2]!Table13[[#This Row],[Resource]], '[2]SI - Payload'!$A$10:$A$40,'[2]SI - Payload'!$B$10:$B$40,"",0), "")</f>
        <v/>
      </c>
      <c r="M13" s="6" t="str">
        <f>IF([2]!Table13[[#This Row],[Category]]="Transportation", "ton", "")</f>
        <v/>
      </c>
      <c r="N13" s="6"/>
      <c r="O13" s="6"/>
      <c r="P13" s="6" t="str">
        <f>IF(OR(Table119[[#This Row],[Type]]="Main Product", Table119[[#This Row],[Type]]="Co-Product"), Table119[[#This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IF(Table119[[#This Row],[Type]]="Co-product", "No", "")</f>
        <v/>
      </c>
      <c r="J14" s="25"/>
      <c r="K14" s="6"/>
      <c r="L14" s="6" t="str">
        <f>IF([2]!Table13[[#This Row],[Category]]="Transportation", _xlfn.XLOOKUP([2]!Table13[[#This Row],[Resource]], '[2]SI - Payload'!$A$10:$A$40,'[2]SI - Payload'!$B$10:$B$40,"",0), "")</f>
        <v/>
      </c>
      <c r="M14" s="6" t="str">
        <f>IF([2]!Table13[[#This Row],[Category]]="Transportation", "ton", "")</f>
        <v/>
      </c>
      <c r="N14" s="6"/>
      <c r="O14" s="6"/>
      <c r="P14" s="6" t="str">
        <f>IF(OR(Table119[[#This Row],[Type]]="Main Product", Table119[[#This Row],[Type]]="Co-Product"), Table119[[#This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IF(Table119[[#This Row],[Type]]="Co-product", "No", "")</f>
        <v/>
      </c>
      <c r="J15" s="25"/>
      <c r="K15" s="6"/>
      <c r="L15" s="6" t="str">
        <f>IF([2]!Table13[[#This Row],[Category]]="Transportation", _xlfn.XLOOKUP([2]!Table13[[#This Row],[Resource]], '[2]SI - Payload'!$A$10:$A$40,'[2]SI - Payload'!$B$10:$B$40,"",0), "")</f>
        <v/>
      </c>
      <c r="M15" s="6" t="str">
        <f>IF([2]!Table13[[#This Row],[Category]]="Transportation", "ton", "")</f>
        <v/>
      </c>
      <c r="N15" s="6"/>
      <c r="O15" s="6"/>
      <c r="P15" s="6" t="str">
        <f>IF(OR(Table119[[#This Row],[Type]]="Main Product", Table119[[#This Row],[Type]]="Co-Product"), Table119[[#This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IF(Table119[[#This Row],[Type]]="Co-product", "No", "")</f>
        <v/>
      </c>
      <c r="J16" s="25"/>
      <c r="K16" s="6"/>
      <c r="L16" s="6" t="str">
        <f>IF([2]!Table13[[#This Row],[Category]]="Transportation", _xlfn.XLOOKUP([2]!Table13[[#This Row],[Resource]], '[2]SI - Payload'!$A$10:$A$40,'[2]SI - Payload'!$B$10:$B$40,"",0), "")</f>
        <v/>
      </c>
      <c r="M16" s="6" t="str">
        <f>IF([2]!Table13[[#This Row],[Category]]="Transportation", "ton", "")</f>
        <v/>
      </c>
      <c r="N16" s="6"/>
      <c r="O16" s="6"/>
      <c r="P16" s="6" t="str">
        <f>IF(OR(Table119[[#This Row],[Type]]="Main Product", Table119[[#This Row],[Type]]="Co-Product"), Table119[[#This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IF(Table119[[#This Row],[Type]]="Co-product", "No", "")</f>
        <v/>
      </c>
      <c r="J17" s="25"/>
      <c r="K17" s="6"/>
      <c r="L17" s="6" t="str">
        <f>IF([2]!Table13[[#This Row],[Category]]="Transportation", _xlfn.XLOOKUP([2]!Table13[[#This Row],[Resource]], '[2]SI - Payload'!$A$10:$A$40,'[2]SI - Payload'!$B$10:$B$40,"",0), "")</f>
        <v/>
      </c>
      <c r="M17" s="6" t="str">
        <f>IF([2]!Table13[[#This Row],[Category]]="Transportation", "ton", "")</f>
        <v/>
      </c>
      <c r="N17" s="6"/>
      <c r="O17" s="6"/>
      <c r="P17" s="6" t="str">
        <f>IF(OR(Table119[[#This Row],[Type]]="Main Product", Table119[[#This Row],[Type]]="Co-Product"), Table119[[#This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IF(Table119[[#This Row],[Type]]="Co-product", "No", "")</f>
        <v/>
      </c>
      <c r="J18" s="25"/>
      <c r="K18" s="6"/>
      <c r="L18" s="6" t="str">
        <f>IF([2]!Table13[[#This Row],[Category]]="Transportation", _xlfn.XLOOKUP([2]!Table13[[#This Row],[Resource]], '[2]SI - Payload'!$A$10:$A$40,'[2]SI - Payload'!$B$10:$B$40,"",0), "")</f>
        <v/>
      </c>
      <c r="M18" s="6" t="str">
        <f>IF([2]!Table13[[#This Row],[Category]]="Transportation", "ton", "")</f>
        <v/>
      </c>
      <c r="N18" s="6"/>
      <c r="O18" s="6"/>
      <c r="P18" s="6" t="str">
        <f>IF(OR(Table119[[#This Row],[Type]]="Main Product", Table119[[#This Row],[Type]]="Co-Product"), Table119[[#This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IF(Table119[[#This Row],[Type]]="Co-product", "No", "")</f>
        <v/>
      </c>
      <c r="J19" s="25"/>
      <c r="K19" s="6"/>
      <c r="L19" s="6" t="str">
        <f>IF([2]!Table13[[#This Row],[Category]]="Transportation", _xlfn.XLOOKUP([2]!Table13[[#This Row],[Resource]], '[2]SI - Payload'!$A$10:$A$40,'[2]SI - Payload'!$B$10:$B$40,"",0), "")</f>
        <v/>
      </c>
      <c r="M19" s="6" t="str">
        <f>IF([2]!Table13[[#This Row],[Category]]="Transportation", "ton", "")</f>
        <v/>
      </c>
      <c r="N19" s="6"/>
      <c r="O19" s="6"/>
      <c r="P19" s="6" t="str">
        <f>IF(OR(Table119[[#This Row],[Type]]="Main Product", Table119[[#This Row],[Type]]="Co-Product"), Table119[[#This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IF(Table119[[#This Row],[Type]]="Co-product", "No", "")</f>
        <v/>
      </c>
      <c r="J20" s="25"/>
      <c r="K20" s="6"/>
      <c r="L20" s="6" t="str">
        <f>IF([2]!Table13[[#This Row],[Category]]="Transportation", _xlfn.XLOOKUP([2]!Table13[[#This Row],[Resource]], '[2]SI - Payload'!$A$10:$A$40,'[2]SI - Payload'!$B$10:$B$40,"",0), "")</f>
        <v/>
      </c>
      <c r="M20" s="6" t="str">
        <f>IF([2]!Table13[[#This Row],[Category]]="Transportation", "ton", "")</f>
        <v/>
      </c>
      <c r="N20" s="6"/>
      <c r="O20" s="6"/>
      <c r="P20" s="6" t="str">
        <f>IF(OR(Table119[[#This Row],[Type]]="Main Product", Table119[[#This Row],[Type]]="Co-Product"), Table119[[#This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IF(Table119[[#This Row],[Type]]="Co-product", "No", "")</f>
        <v/>
      </c>
      <c r="J21" s="25"/>
      <c r="K21" s="6"/>
      <c r="L21" s="6" t="str">
        <f>IF([2]!Table13[[#This Row],[Category]]="Transportation", _xlfn.XLOOKUP([2]!Table13[[#This Row],[Resource]], '[2]SI - Payload'!$A$10:$A$40,'[2]SI - Payload'!$B$10:$B$40,"",0), "")</f>
        <v/>
      </c>
      <c r="M21" s="6" t="str">
        <f>IF([2]!Table13[[#This Row],[Category]]="Transportation", "ton", "")</f>
        <v/>
      </c>
      <c r="N21" s="6"/>
      <c r="O21" s="6"/>
      <c r="P21" s="6" t="str">
        <f>IF(OR(Table119[[#This Row],[Type]]="Main Product", Table119[[#This Row],[Type]]="Co-Product"), Table119[[#This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IF(Table119[[#This Row],[Type]]="Co-product", "No", "")</f>
        <v/>
      </c>
      <c r="J22" s="25"/>
      <c r="K22" s="6"/>
      <c r="L22" s="6" t="str">
        <f>IF([2]!Table13[[#This Row],[Category]]="Transportation", _xlfn.XLOOKUP([2]!Table13[[#This Row],[Resource]], '[2]SI - Payload'!$A$10:$A$40,'[2]SI - Payload'!$B$10:$B$40,"",0), "")</f>
        <v/>
      </c>
      <c r="M22" s="6" t="str">
        <f>IF([2]!Table13[[#This Row],[Category]]="Transportation", "ton", "")</f>
        <v/>
      </c>
      <c r="N22" s="6"/>
      <c r="O22" s="6"/>
      <c r="P22" s="6" t="str">
        <f>IF(OR(Table119[[#This Row],[Type]]="Main Product", Table119[[#This Row],[Type]]="Co-Product"), Table119[[#This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IF(Table119[[#This Row],[Type]]="Co-product", "No", "")</f>
        <v/>
      </c>
      <c r="J23" s="25"/>
      <c r="K23" s="6"/>
      <c r="L23" s="6" t="str">
        <f>IF([2]!Table13[[#This Row],[Category]]="Transportation", _xlfn.XLOOKUP([2]!Table13[[#This Row],[Resource]], '[2]SI - Payload'!$A$10:$A$40,'[2]SI - Payload'!$B$10:$B$40,"",0), "")</f>
        <v/>
      </c>
      <c r="M23" s="6" t="str">
        <f>IF([2]!Table13[[#This Row],[Category]]="Transportation", "ton", "")</f>
        <v/>
      </c>
      <c r="N23" s="6"/>
      <c r="O23" s="6"/>
      <c r="P23" s="6" t="str">
        <f>IF(OR(Table119[[#This Row],[Type]]="Main Product", Table119[[#This Row],[Type]]="Co-Product"), Table119[[#This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IF(Table119[[#This Row],[Type]]="Co-product", "No", "")</f>
        <v/>
      </c>
      <c r="J24" s="25"/>
      <c r="K24" s="6"/>
      <c r="L24" s="6" t="str">
        <f>IF([2]!Table13[[#This Row],[Category]]="Transportation", _xlfn.XLOOKUP([2]!Table13[[#This Row],[Resource]], '[2]SI - Payload'!$A$10:$A$40,'[2]SI - Payload'!$B$10:$B$40,"",0), "")</f>
        <v/>
      </c>
      <c r="M24" s="6" t="str">
        <f>IF([2]!Table13[[#This Row],[Category]]="Transportation", "ton", "")</f>
        <v/>
      </c>
      <c r="N24" s="6"/>
      <c r="O24" s="6"/>
      <c r="P24" s="6" t="str">
        <f>IF(OR(Table119[[#This Row],[Type]]="Main Product", Table119[[#This Row],[Type]]="Co-Product"), Table119[[#This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IF(Table119[[#This Row],[Type]]="Co-product", "No", "")</f>
        <v/>
      </c>
      <c r="J25" s="25"/>
      <c r="K25" s="6"/>
      <c r="L25" s="6" t="str">
        <f>IF([2]!Table13[[#This Row],[Category]]="Transportation", _xlfn.XLOOKUP([2]!Table13[[#This Row],[Resource]], '[2]SI - Payload'!$A$10:$A$40,'[2]SI - Payload'!$B$10:$B$40,"",0), "")</f>
        <v/>
      </c>
      <c r="M25" s="6" t="str">
        <f>IF([2]!Table13[[#This Row],[Category]]="Transportation", "ton", "")</f>
        <v/>
      </c>
      <c r="N25" s="6"/>
      <c r="O25" s="6"/>
      <c r="P25" s="6" t="str">
        <f>IF(OR(Table119[[#This Row],[Type]]="Main Product", Table119[[#This Row],[Type]]="Co-Product"), Table119[[#This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IF(Table119[[#This Row],[Type]]="Co-product", "No", "")</f>
        <v/>
      </c>
      <c r="J26" s="25"/>
      <c r="K26" s="6"/>
      <c r="L26" s="6" t="str">
        <f>IF([2]!Table13[[#This Row],[Category]]="Transportation", _xlfn.XLOOKUP([2]!Table13[[#This Row],[Resource]], '[2]SI - Payload'!$A$10:$A$40,'[2]SI - Payload'!$B$10:$B$40,"",0), "")</f>
        <v/>
      </c>
      <c r="M26" s="6" t="str">
        <f>IF([2]!Table13[[#This Row],[Category]]="Transportation", "ton", "")</f>
        <v/>
      </c>
      <c r="N26" s="6"/>
      <c r="O26" s="6"/>
      <c r="P26" s="6" t="str">
        <f>IF(OR(Table119[[#This Row],[Type]]="Main Product", Table119[[#This Row],[Type]]="Co-Product"), Table119[[#This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IF(Table119[[#This Row],[Type]]="Co-product", "No", "")</f>
        <v/>
      </c>
      <c r="J27" s="25"/>
      <c r="K27" s="6"/>
      <c r="L27" s="6" t="str">
        <f>IF([2]!Table13[[#This Row],[Category]]="Transportation", _xlfn.XLOOKUP([2]!Table13[[#This Row],[Resource]], '[2]SI - Payload'!$A$10:$A$40,'[2]SI - Payload'!$B$10:$B$40,"",0), "")</f>
        <v/>
      </c>
      <c r="M27" s="6" t="str">
        <f>IF([2]!Table13[[#This Row],[Category]]="Transportation", "ton", "")</f>
        <v/>
      </c>
      <c r="N27" s="6"/>
      <c r="O27" s="6"/>
      <c r="P27" s="6" t="str">
        <f>IF(OR(Table119[[#This Row],[Type]]="Main Product", Table119[[#This Row],[Type]]="Co-Product"), Table119[[#This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IF(Table119[[#This Row],[Type]]="Co-product", "No", "")</f>
        <v/>
      </c>
      <c r="J28" s="25"/>
      <c r="K28" s="6"/>
      <c r="L28" s="6" t="str">
        <f>IF([2]!Table13[[#This Row],[Category]]="Transportation", _xlfn.XLOOKUP([2]!Table13[[#This Row],[Resource]], '[2]SI - Payload'!$A$10:$A$40,'[2]SI - Payload'!$B$10:$B$40,"",0), "")</f>
        <v/>
      </c>
      <c r="M28" s="6" t="str">
        <f>IF([2]!Table13[[#This Row],[Category]]="Transportation", "ton", "")</f>
        <v/>
      </c>
      <c r="N28" s="6"/>
      <c r="O28" s="6"/>
      <c r="P28" s="6" t="str">
        <f>IF(OR(Table119[[#This Row],[Type]]="Main Product", Table119[[#This Row],[Type]]="Co-Product"), Table119[[#This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IF(Table119[[#This Row],[Type]]="Co-product", "No", "")</f>
        <v/>
      </c>
      <c r="J29" s="25"/>
      <c r="K29" s="6"/>
      <c r="L29" s="6" t="str">
        <f>IF([2]!Table13[[#This Row],[Category]]="Transportation", _xlfn.XLOOKUP([2]!Table13[[#This Row],[Resource]], '[2]SI - Payload'!$A$10:$A$40,'[2]SI - Payload'!$B$10:$B$40,"",0), "")</f>
        <v/>
      </c>
      <c r="M29" s="6" t="str">
        <f>IF([2]!Table13[[#This Row],[Category]]="Transportation", "ton", "")</f>
        <v/>
      </c>
      <c r="N29" s="6"/>
      <c r="O29" s="6"/>
      <c r="P29" s="6" t="str">
        <f>IF(OR(Table119[[#This Row],[Type]]="Main Product", Table119[[#This Row],[Type]]="Co-Product"), Table119[[#This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IF(Table119[[#This Row],[Type]]="Co-product", "No", "")</f>
        <v/>
      </c>
      <c r="J30" s="25"/>
      <c r="K30" s="6"/>
      <c r="L30" s="6" t="str">
        <f>IF([2]!Table13[[#This Row],[Category]]="Transportation", _xlfn.XLOOKUP([2]!Table13[[#This Row],[Resource]], '[2]SI - Payload'!$A$10:$A$40,'[2]SI - Payload'!$B$10:$B$40,"",0), "")</f>
        <v/>
      </c>
      <c r="M30" s="6" t="str">
        <f>IF([2]!Table13[[#This Row],[Category]]="Transportation", "ton", "")</f>
        <v/>
      </c>
      <c r="N30" s="6"/>
      <c r="O30" s="6"/>
      <c r="P30" s="6" t="str">
        <f>IF(OR(Table119[[#This Row],[Type]]="Main Product", Table119[[#This Row],[Type]]="Co-Product"), Table119[[#This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IF(Table119[[#This Row],[Type]]="Co-product", "No", "")</f>
        <v/>
      </c>
      <c r="J31" s="25"/>
      <c r="K31" s="6"/>
      <c r="L31" s="6" t="str">
        <f>IF([2]!Table13[[#This Row],[Category]]="Transportation", _xlfn.XLOOKUP([2]!Table13[[#This Row],[Resource]], '[2]SI - Payload'!$A$10:$A$40,'[2]SI - Payload'!$B$10:$B$40,"",0), "")</f>
        <v/>
      </c>
      <c r="M31" s="6" t="str">
        <f>IF([2]!Table13[[#This Row],[Category]]="Transportation", "ton", "")</f>
        <v/>
      </c>
      <c r="N31" s="6"/>
      <c r="O31" s="6"/>
      <c r="P31" s="6" t="str">
        <f>IF(OR(Table119[[#This Row],[Type]]="Main Product", Table119[[#This Row],[Type]]="Co-Product"), Table119[[#This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IF(Table119[[#This Row],[Type]]="Co-product", "No", "")</f>
        <v/>
      </c>
      <c r="J32" s="25"/>
      <c r="K32" s="6"/>
      <c r="L32" s="6" t="str">
        <f>IF([2]!Table13[[#This Row],[Category]]="Transportation", _xlfn.XLOOKUP([2]!Table13[[#This Row],[Resource]], '[2]SI - Payload'!$A$10:$A$40,'[2]SI - Payload'!$B$10:$B$40,"",0), "")</f>
        <v/>
      </c>
      <c r="M32" s="6" t="str">
        <f>IF([2]!Table13[[#This Row],[Category]]="Transportation", "ton", "")</f>
        <v/>
      </c>
      <c r="N32" s="6"/>
      <c r="O32" s="6"/>
      <c r="P32" s="6" t="str">
        <f>IF(OR(Table119[[#This Row],[Type]]="Main Product", Table119[[#This Row],[Type]]="Co-Product"), Table119[[#This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IF(Table119[[#This Row],[Type]]="Co-product", "No", "")</f>
        <v/>
      </c>
      <c r="J33" s="25"/>
      <c r="K33" s="6"/>
      <c r="L33" s="6" t="str">
        <f>IF([2]!Table13[[#This Row],[Category]]="Transportation", _xlfn.XLOOKUP([2]!Table13[[#This Row],[Resource]], '[2]SI - Payload'!$A$10:$A$40,'[2]SI - Payload'!$B$10:$B$40,"",0), "")</f>
        <v/>
      </c>
      <c r="M33" s="6" t="str">
        <f>IF([2]!Table13[[#This Row],[Category]]="Transportation", "ton", "")</f>
        <v/>
      </c>
      <c r="N33" s="6"/>
      <c r="O33" s="6"/>
      <c r="P33" s="6" t="str">
        <f>IF(OR(Table119[[#This Row],[Type]]="Main Product", Table119[[#This Row],[Type]]="Co-Product"), Table119[[#This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IF(Table119[[#This Row],[Type]]="Co-product", "No", "")</f>
        <v/>
      </c>
      <c r="J34" s="25"/>
      <c r="K34" s="6"/>
      <c r="L34" s="6" t="str">
        <f>IF([2]!Table13[[#This Row],[Category]]="Transportation", _xlfn.XLOOKUP([2]!Table13[[#This Row],[Resource]], '[2]SI - Payload'!$A$10:$A$40,'[2]SI - Payload'!$B$10:$B$40,"",0), "")</f>
        <v/>
      </c>
      <c r="M34" s="6" t="str">
        <f>IF([2]!Table13[[#This Row],[Category]]="Transportation", "ton", "")</f>
        <v/>
      </c>
      <c r="N34" s="6"/>
      <c r="O34" s="6"/>
      <c r="P34" s="6" t="str">
        <f>IF(OR(Table119[[#This Row],[Type]]="Main Product", Table119[[#This Row],[Type]]="Co-Product"), Table119[[#This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IF(Table119[[#This Row],[Type]]="Co-product", "No", "")</f>
        <v/>
      </c>
      <c r="J35" s="25"/>
      <c r="K35" s="6"/>
      <c r="L35" s="6" t="str">
        <f>IF([2]!Table13[[#This Row],[Category]]="Transportation", _xlfn.XLOOKUP([2]!Table13[[#This Row],[Resource]], '[2]SI - Payload'!$A$10:$A$40,'[2]SI - Payload'!$B$10:$B$40,"",0), "")</f>
        <v/>
      </c>
      <c r="M35" s="6" t="str">
        <f>IF([2]!Table13[[#This Row],[Category]]="Transportation", "ton", "")</f>
        <v/>
      </c>
      <c r="N35" s="6"/>
      <c r="O35" s="6"/>
      <c r="P35" s="6" t="str">
        <f>IF(OR(Table119[[#This Row],[Type]]="Main Product", Table119[[#This Row],[Type]]="Co-Product"), Table119[[#This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IF(Table119[[#This Row],[Type]]="Co-product", "No", "")</f>
        <v/>
      </c>
      <c r="J36" s="25"/>
      <c r="K36" s="6"/>
      <c r="L36" s="6" t="str">
        <f>IF([2]!Table13[[#This Row],[Category]]="Transportation", _xlfn.XLOOKUP([2]!Table13[[#This Row],[Resource]], '[2]SI - Payload'!$A$10:$A$40,'[2]SI - Payload'!$B$10:$B$40,"",0), "")</f>
        <v/>
      </c>
      <c r="M36" s="6" t="str">
        <f>IF([2]!Table13[[#This Row],[Category]]="Transportation", "ton", "")</f>
        <v/>
      </c>
      <c r="N36" s="6"/>
      <c r="O36" s="6"/>
      <c r="P36" s="6" t="str">
        <f>IF(OR(Table119[[#This Row],[Type]]="Main Product", Table119[[#This Row],[Type]]="Co-Product"), Table119[[#This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IF(Table119[[#This Row],[Type]]="Co-product", "No", "")</f>
        <v/>
      </c>
      <c r="J37" s="25"/>
      <c r="K37" s="6"/>
      <c r="L37" s="6" t="str">
        <f>IF([2]!Table13[[#This Row],[Category]]="Transportation", _xlfn.XLOOKUP([2]!Table13[[#This Row],[Resource]], '[2]SI - Payload'!$A$10:$A$40,'[2]SI - Payload'!$B$10:$B$40,"",0), "")</f>
        <v/>
      </c>
      <c r="M37" s="6" t="str">
        <f>IF([2]!Table13[[#This Row],[Category]]="Transportation", "ton", "")</f>
        <v/>
      </c>
      <c r="N37" s="6"/>
      <c r="O37" s="6"/>
      <c r="P37" s="6" t="str">
        <f>IF(OR(Table119[[#This Row],[Type]]="Main Product", Table119[[#This Row],[Type]]="Co-Product"), Table119[[#This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IF(Table119[[#This Row],[Type]]="Co-product", "No", "")</f>
        <v/>
      </c>
      <c r="J38" s="25"/>
      <c r="K38" s="6"/>
      <c r="L38" s="6" t="str">
        <f>IF([2]!Table13[[#This Row],[Category]]="Transportation", _xlfn.XLOOKUP([2]!Table13[[#This Row],[Resource]], '[2]SI - Payload'!$A$10:$A$40,'[2]SI - Payload'!$B$10:$B$40,"",0), "")</f>
        <v/>
      </c>
      <c r="M38" s="6" t="str">
        <f>IF([2]!Table13[[#This Row],[Category]]="Transportation", "ton", "")</f>
        <v/>
      </c>
      <c r="N38" s="6"/>
      <c r="O38" s="6"/>
      <c r="P38" s="6" t="str">
        <f>IF(OR(Table119[[#This Row],[Type]]="Main Product", Table119[[#This Row],[Type]]="Co-Product"), Table119[[#This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IF(Table119[[#This Row],[Type]]="Co-product", "No", "")</f>
        <v/>
      </c>
      <c r="J39" s="25"/>
      <c r="K39" s="6"/>
      <c r="L39" s="6" t="str">
        <f>IF([2]!Table13[[#This Row],[Category]]="Transportation", _xlfn.XLOOKUP([2]!Table13[[#This Row],[Resource]], '[2]SI - Payload'!$A$10:$A$40,'[2]SI - Payload'!$B$10:$B$40,"",0), "")</f>
        <v/>
      </c>
      <c r="M39" s="6" t="str">
        <f>IF([2]!Table13[[#This Row],[Category]]="Transportation", "ton", "")</f>
        <v/>
      </c>
      <c r="N39" s="6"/>
      <c r="O39" s="6"/>
      <c r="P39" s="6" t="str">
        <f>IF(OR(Table119[[#This Row],[Type]]="Main Product", Table119[[#This Row],[Type]]="Co-Product"), Table119[[#This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IF(Table119[[#This Row],[Type]]="Co-product", "No", "")</f>
        <v/>
      </c>
      <c r="J40" s="25"/>
      <c r="K40" s="6"/>
      <c r="L40" s="6" t="str">
        <f>IF([2]!Table13[[#This Row],[Category]]="Transportation", _xlfn.XLOOKUP([2]!Table13[[#This Row],[Resource]], '[2]SI - Payload'!$A$10:$A$40,'[2]SI - Payload'!$B$10:$B$40,"",0), "")</f>
        <v/>
      </c>
      <c r="M40" s="6" t="str">
        <f>IF([2]!Table13[[#This Row],[Category]]="Transportation", "ton", "")</f>
        <v/>
      </c>
      <c r="N40" s="6"/>
      <c r="O40" s="6"/>
      <c r="P40" s="6" t="str">
        <f>IF(OR(Table119[[#This Row],[Type]]="Main Product", Table119[[#This Row],[Type]]="Co-Product"), Table119[[#This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IF(Table119[[#This Row],[Type]]="Co-product", "No", "")</f>
        <v/>
      </c>
      <c r="J41" s="25"/>
      <c r="K41" s="6"/>
      <c r="L41" s="6" t="str">
        <f>IF([2]!Table13[[#This Row],[Category]]="Transportation", _xlfn.XLOOKUP([2]!Table13[[#This Row],[Resource]], '[2]SI - Payload'!$A$10:$A$40,'[2]SI - Payload'!$B$10:$B$40,"",0), "")</f>
        <v/>
      </c>
      <c r="M41" s="6" t="str">
        <f>IF([2]!Table13[[#This Row],[Category]]="Transportation", "ton", "")</f>
        <v/>
      </c>
      <c r="N41" s="6"/>
      <c r="O41" s="6"/>
      <c r="P41" s="6" t="str">
        <f>IF(OR(Table119[[#This Row],[Type]]="Main Product", Table119[[#This Row],[Type]]="Co-Product"), Table119[[#This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IF(Table119[[#This Row],[Type]]="Co-product", "No", "")</f>
        <v/>
      </c>
      <c r="J42" s="25"/>
      <c r="K42" s="6"/>
      <c r="L42" s="6" t="str">
        <f>IF([2]!Table13[[#This Row],[Category]]="Transportation", _xlfn.XLOOKUP([2]!Table13[[#This Row],[Resource]], '[2]SI - Payload'!$A$10:$A$40,'[2]SI - Payload'!$B$10:$B$40,"",0), "")</f>
        <v/>
      </c>
      <c r="M42" s="6" t="str">
        <f>IF([2]!Table13[[#This Row],[Category]]="Transportation", "ton", "")</f>
        <v/>
      </c>
      <c r="N42" s="6"/>
      <c r="O42" s="6"/>
      <c r="P42" s="6" t="str">
        <f>IF(OR(Table119[[#This Row],[Type]]="Main Product", Table119[[#This Row],[Type]]="Co-Product"), Table119[[#This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IF(Table119[[#This Row],[Type]]="Co-product", "No", "")</f>
        <v/>
      </c>
      <c r="J43" s="25"/>
      <c r="K43" s="6"/>
      <c r="L43" s="6" t="str">
        <f>IF([2]!Table13[[#This Row],[Category]]="Transportation", _xlfn.XLOOKUP([2]!Table13[[#This Row],[Resource]], '[2]SI - Payload'!$A$10:$A$40,'[2]SI - Payload'!$B$10:$B$40,"",0), "")</f>
        <v/>
      </c>
      <c r="M43" s="6" t="str">
        <f>IF([2]!Table13[[#This Row],[Category]]="Transportation", "ton", "")</f>
        <v/>
      </c>
      <c r="N43" s="6"/>
      <c r="O43" s="6"/>
      <c r="P43" s="6" t="str">
        <f>IF(OR(Table119[[#This Row],[Type]]="Main Product", Table119[[#This Row],[Type]]="Co-Product"), Table119[[#This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IF(Table119[[#This Row],[Type]]="Co-product", "No", "")</f>
        <v/>
      </c>
      <c r="J44" s="25"/>
      <c r="K44" s="6"/>
      <c r="L44" s="6" t="str">
        <f>IF([2]!Table13[[#This Row],[Category]]="Transportation", _xlfn.XLOOKUP([2]!Table13[[#This Row],[Resource]], '[2]SI - Payload'!$A$10:$A$40,'[2]SI - Payload'!$B$10:$B$40,"",0), "")</f>
        <v/>
      </c>
      <c r="M44" s="6" t="str">
        <f>IF([2]!Table13[[#This Row],[Category]]="Transportation", "ton", "")</f>
        <v/>
      </c>
      <c r="N44" s="6"/>
      <c r="O44" s="6"/>
      <c r="P44" s="6" t="str">
        <f>IF(OR(Table119[[#This Row],[Type]]="Main Product", Table119[[#This Row],[Type]]="Co-Product"), Table119[[#This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IF(Table119[[#This Row],[Type]]="Co-product", "No", "")</f>
        <v/>
      </c>
      <c r="J45" s="25"/>
      <c r="K45" s="6"/>
      <c r="L45" s="6" t="str">
        <f>IF([2]!Table13[[#This Row],[Category]]="Transportation", _xlfn.XLOOKUP([2]!Table13[[#This Row],[Resource]], '[2]SI - Payload'!$A$10:$A$40,'[2]SI - Payload'!$B$10:$B$40,"",0), "")</f>
        <v/>
      </c>
      <c r="M45" s="6" t="str">
        <f>IF([2]!Table13[[#This Row],[Category]]="Transportation", "ton", "")</f>
        <v/>
      </c>
      <c r="N45" s="6"/>
      <c r="O45" s="6"/>
      <c r="P45" s="6" t="str">
        <f>IF(OR(Table119[[#This Row],[Type]]="Main Product", Table119[[#This Row],[Type]]="Co-Product"), Table119[[#This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IF(Table119[[#This Row],[Type]]="Co-product", "No", "")</f>
        <v/>
      </c>
      <c r="J46" s="25"/>
      <c r="K46" s="6"/>
      <c r="L46" s="6" t="str">
        <f>IF([2]!Table13[[#This Row],[Category]]="Transportation", _xlfn.XLOOKUP([2]!Table13[[#This Row],[Resource]], '[2]SI - Payload'!$A$10:$A$40,'[2]SI - Payload'!$B$10:$B$40,"",0), "")</f>
        <v/>
      </c>
      <c r="M46" s="6" t="str">
        <f>IF([2]!Table13[[#This Row],[Category]]="Transportation", "ton", "")</f>
        <v/>
      </c>
      <c r="N46" s="6"/>
      <c r="O46" s="6"/>
      <c r="P46" s="6" t="str">
        <f>IF(OR(Table119[[#This Row],[Type]]="Main Product", Table119[[#This Row],[Type]]="Co-Product"), Table119[[#This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IF(Table119[[#This Row],[Type]]="Co-product", "No", "")</f>
        <v/>
      </c>
      <c r="J47" s="25"/>
      <c r="K47" s="6"/>
      <c r="L47" s="6" t="str">
        <f>IF([2]!Table13[[#This Row],[Category]]="Transportation", _xlfn.XLOOKUP([2]!Table13[[#This Row],[Resource]], '[2]SI - Payload'!$A$10:$A$40,'[2]SI - Payload'!$B$10:$B$40,"",0), "")</f>
        <v/>
      </c>
      <c r="M47" s="6" t="str">
        <f>IF([2]!Table13[[#This Row],[Category]]="Transportation", "ton", "")</f>
        <v/>
      </c>
      <c r="N47" s="6"/>
      <c r="O47" s="6"/>
      <c r="P47" s="6" t="str">
        <f>IF(OR(Table119[[#This Row],[Type]]="Main Product", Table119[[#This Row],[Type]]="Co-Product"), Table119[[#This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IF(Table119[[#This Row],[Type]]="Co-product", "No", "")</f>
        <v/>
      </c>
      <c r="J48" s="25"/>
      <c r="K48" s="6"/>
      <c r="L48" s="6" t="str">
        <f>IF([2]!Table13[[#This Row],[Category]]="Transportation", _xlfn.XLOOKUP([2]!Table13[[#This Row],[Resource]], '[2]SI - Payload'!$A$10:$A$40,'[2]SI - Payload'!$B$10:$B$40,"",0), "")</f>
        <v/>
      </c>
      <c r="M48" s="6" t="str">
        <f>IF([2]!Table13[[#This Row],[Category]]="Transportation", "ton", "")</f>
        <v/>
      </c>
      <c r="N48" s="6"/>
      <c r="O48" s="6"/>
      <c r="P48" s="6" t="str">
        <f>IF(OR(Table119[[#This Row],[Type]]="Main Product", Table119[[#This Row],[Type]]="Co-Product"), Table119[[#This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IF(Table119[[#This Row],[Type]]="Co-product", "No", "")</f>
        <v/>
      </c>
      <c r="J49" s="25"/>
      <c r="K49" s="6"/>
      <c r="L49" s="6" t="str">
        <f>IF([2]!Table13[[#This Row],[Category]]="Transportation", _xlfn.XLOOKUP([2]!Table13[[#This Row],[Resource]], '[2]SI - Payload'!$A$10:$A$40,'[2]SI - Payload'!$B$10:$B$40,"",0), "")</f>
        <v/>
      </c>
      <c r="M49" s="6" t="str">
        <f>IF([2]!Table13[[#This Row],[Category]]="Transportation", "ton", "")</f>
        <v/>
      </c>
      <c r="N49" s="6"/>
      <c r="O49" s="6"/>
      <c r="P49" s="6" t="str">
        <f>IF(OR(Table119[[#This Row],[Type]]="Main Product", Table119[[#This Row],[Type]]="Co-Product"), Table119[[#This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IF(Table119[[#This Row],[Type]]="Co-product", "No", "")</f>
        <v/>
      </c>
      <c r="J50" s="25"/>
      <c r="K50" s="6"/>
      <c r="L50" s="6" t="str">
        <f>IF([2]!Table13[[#This Row],[Category]]="Transportation", _xlfn.XLOOKUP([2]!Table13[[#This Row],[Resource]], '[2]SI - Payload'!$A$10:$A$40,'[2]SI - Payload'!$B$10:$B$40,"",0), "")</f>
        <v/>
      </c>
      <c r="M50" s="6" t="str">
        <f>IF([2]!Table13[[#This Row],[Category]]="Transportation", "ton", "")</f>
        <v/>
      </c>
      <c r="N50" s="6"/>
      <c r="O50" s="6"/>
      <c r="P50" s="6" t="str">
        <f>IF(OR(Table119[[#This Row],[Type]]="Main Product", Table119[[#This Row],[Type]]="Co-Product"), Table119[[#This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IF(Table119[[#This Row],[Type]]="Co-product", "No", "")</f>
        <v/>
      </c>
      <c r="J51" s="25"/>
      <c r="K51" s="6"/>
      <c r="L51" s="6" t="str">
        <f>IF([2]!Table13[[#This Row],[Category]]="Transportation", _xlfn.XLOOKUP([2]!Table13[[#This Row],[Resource]], '[2]SI - Payload'!$A$10:$A$40,'[2]SI - Payload'!$B$10:$B$40,"",0), "")</f>
        <v/>
      </c>
      <c r="M51" s="6" t="str">
        <f>IF([2]!Table13[[#This Row],[Category]]="Transportation", "ton", "")</f>
        <v/>
      </c>
      <c r="N51" s="6"/>
      <c r="O51" s="6"/>
      <c r="P51" s="6" t="str">
        <f>IF(OR(Table119[[#This Row],[Type]]="Main Product", Table119[[#This Row],[Type]]="Co-Product"), Table119[[#This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IF(Table119[[#This Row],[Type]]="Co-product", "No", "")</f>
        <v/>
      </c>
      <c r="J52" s="25"/>
      <c r="K52" s="6"/>
      <c r="L52" s="6" t="str">
        <f>IF([2]!Table13[[#This Row],[Category]]="Transportation", _xlfn.XLOOKUP([2]!Table13[[#This Row],[Resource]], '[2]SI - Payload'!$A$10:$A$40,'[2]SI - Payload'!$B$10:$B$40,"",0), "")</f>
        <v/>
      </c>
      <c r="M52" s="6" t="str">
        <f>IF([2]!Table13[[#This Row],[Category]]="Transportation", "ton", "")</f>
        <v/>
      </c>
      <c r="N52" s="6"/>
      <c r="O52" s="6"/>
      <c r="P52" s="6" t="str">
        <f>IF(OR(Table119[[#This Row],[Type]]="Main Product", Table119[[#This Row],[Type]]="Co-Product"), Table119[[#This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IF(Table119[[#This Row],[Type]]="Co-product", "No", "")</f>
        <v/>
      </c>
      <c r="J53" s="25"/>
      <c r="K53" s="6"/>
      <c r="L53" s="6" t="str">
        <f>IF([2]!Table13[[#This Row],[Category]]="Transportation", _xlfn.XLOOKUP([2]!Table13[[#This Row],[Resource]], '[2]SI - Payload'!$A$10:$A$40,'[2]SI - Payload'!$B$10:$B$40,"",0), "")</f>
        <v/>
      </c>
      <c r="M53" s="6" t="str">
        <f>IF([2]!Table13[[#This Row],[Category]]="Transportation", "ton", "")</f>
        <v/>
      </c>
      <c r="N53" s="6"/>
      <c r="O53" s="6"/>
      <c r="P53" s="6" t="str">
        <f>IF(OR(Table119[[#This Row],[Type]]="Main Product", Table119[[#This Row],[Type]]="Co-Product"), Table119[[#This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IF(Table119[[#This Row],[Type]]="Co-product", "No", "")</f>
        <v/>
      </c>
      <c r="J54" s="25"/>
      <c r="K54" s="6"/>
      <c r="L54" s="6" t="str">
        <f>IF([2]!Table13[[#This Row],[Category]]="Transportation", _xlfn.XLOOKUP([2]!Table13[[#This Row],[Resource]], '[2]SI - Payload'!$A$10:$A$40,'[2]SI - Payload'!$B$10:$B$40,"",0), "")</f>
        <v/>
      </c>
      <c r="M54" s="6" t="str">
        <f>IF([2]!Table13[[#This Row],[Category]]="Transportation", "ton", "")</f>
        <v/>
      </c>
      <c r="N54" s="6"/>
      <c r="O54" s="6"/>
      <c r="P54" s="6" t="str">
        <f>IF(OR(Table119[[#This Row],[Type]]="Main Product", Table119[[#This Row],[Type]]="Co-Product"), Table119[[#This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IF(Table119[[#This Row],[Type]]="Co-product", "No", "")</f>
        <v/>
      </c>
      <c r="J55" s="25"/>
      <c r="K55" s="6"/>
      <c r="L55" s="6" t="str">
        <f>IF([2]!Table13[[#This Row],[Category]]="Transportation", _xlfn.XLOOKUP([2]!Table13[[#This Row],[Resource]], '[2]SI - Payload'!$A$10:$A$40,'[2]SI - Payload'!$B$10:$B$40,"",0), "")</f>
        <v/>
      </c>
      <c r="M55" s="6" t="str">
        <f>IF([2]!Table13[[#This Row],[Category]]="Transportation", "ton", "")</f>
        <v/>
      </c>
      <c r="N55" s="6"/>
      <c r="O55" s="6"/>
      <c r="P55" s="6" t="str">
        <f>IF(OR(Table119[[#This Row],[Type]]="Main Product", Table119[[#This Row],[Type]]="Co-Product"), Table119[[#This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IF(Table119[[#This Row],[Type]]="Co-product", "No", "")</f>
        <v/>
      </c>
      <c r="J56" s="25"/>
      <c r="K56" s="6"/>
      <c r="L56" s="6" t="str">
        <f>IF([2]!Table13[[#This Row],[Category]]="Transportation", _xlfn.XLOOKUP([2]!Table13[[#This Row],[Resource]], '[2]SI - Payload'!$A$10:$A$40,'[2]SI - Payload'!$B$10:$B$40,"",0), "")</f>
        <v/>
      </c>
      <c r="M56" s="6" t="str">
        <f>IF([2]!Table13[[#This Row],[Category]]="Transportation", "ton", "")</f>
        <v/>
      </c>
      <c r="N56" s="6"/>
      <c r="O56" s="6"/>
      <c r="P56" s="6" t="str">
        <f>IF(OR(Table119[[#This Row],[Type]]="Main Product", Table119[[#This Row],[Type]]="Co-Product"), Table119[[#This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IF(Table119[[#This Row],[Type]]="Co-product", "No", "")</f>
        <v/>
      </c>
      <c r="J57" s="25"/>
      <c r="K57" s="6"/>
      <c r="L57" s="6" t="str">
        <f>IF([2]!Table13[[#This Row],[Category]]="Transportation", _xlfn.XLOOKUP([2]!Table13[[#This Row],[Resource]], '[2]SI - Payload'!$A$10:$A$40,'[2]SI - Payload'!$B$10:$B$40,"",0), "")</f>
        <v/>
      </c>
      <c r="M57" s="6" t="str">
        <f>IF([2]!Table13[[#This Row],[Category]]="Transportation", "ton", "")</f>
        <v/>
      </c>
      <c r="N57" s="6"/>
      <c r="O57" s="6"/>
      <c r="P57" s="6" t="str">
        <f>IF(OR(Table119[[#This Row],[Type]]="Main Product", Table119[[#This Row],[Type]]="Co-Product"), Table119[[#This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IF(Table119[[#This Row],[Type]]="Co-product", "No", "")</f>
        <v/>
      </c>
      <c r="J58" s="25"/>
      <c r="K58" s="6"/>
      <c r="L58" s="6" t="str">
        <f>IF([2]!Table13[[#This Row],[Category]]="Transportation", _xlfn.XLOOKUP([2]!Table13[[#This Row],[Resource]], '[2]SI - Payload'!$A$10:$A$40,'[2]SI - Payload'!$B$10:$B$40,"",0), "")</f>
        <v/>
      </c>
      <c r="M58" s="6" t="str">
        <f>IF([2]!Table13[[#This Row],[Category]]="Transportation", "ton", "")</f>
        <v/>
      </c>
      <c r="N58" s="6"/>
      <c r="O58" s="6"/>
      <c r="P58" s="6" t="str">
        <f>IF(OR(Table119[[#This Row],[Type]]="Main Product", Table119[[#This Row],[Type]]="Co-Product"), Table119[[#This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IF(Table119[[#This Row],[Type]]="Co-product", "No", "")</f>
        <v/>
      </c>
      <c r="J59" s="25"/>
      <c r="K59" s="6"/>
      <c r="L59" s="6" t="str">
        <f>IF([2]!Table13[[#This Row],[Category]]="Transportation", _xlfn.XLOOKUP([2]!Table13[[#This Row],[Resource]], '[2]SI - Payload'!$A$10:$A$40,'[2]SI - Payload'!$B$10:$B$40,"",0), "")</f>
        <v/>
      </c>
      <c r="M59" s="6" t="str">
        <f>IF([2]!Table13[[#This Row],[Category]]="Transportation", "ton", "")</f>
        <v/>
      </c>
      <c r="N59" s="6"/>
      <c r="O59" s="6"/>
      <c r="P59" s="6" t="str">
        <f>IF(OR(Table119[[#This Row],[Type]]="Main Product", Table119[[#This Row],[Type]]="Co-Product"), Table119[[#This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IF(Table119[[#This Row],[Type]]="Co-product", "No", "")</f>
        <v/>
      </c>
      <c r="J60" s="25"/>
      <c r="K60" s="6"/>
      <c r="L60" s="6" t="str">
        <f>IF([2]!Table13[[#This Row],[Category]]="Transportation", _xlfn.XLOOKUP([2]!Table13[[#This Row],[Resource]], '[2]SI - Payload'!$A$10:$A$40,'[2]SI - Payload'!$B$10:$B$40,"",0), "")</f>
        <v/>
      </c>
      <c r="M60" s="6" t="str">
        <f>IF([2]!Table13[[#This Row],[Category]]="Transportation", "ton", "")</f>
        <v/>
      </c>
      <c r="N60" s="6"/>
      <c r="O60" s="6"/>
      <c r="P60" s="6" t="str">
        <f>IF(OR(Table119[[#This Row],[Type]]="Main Product", Table119[[#This Row],[Type]]="Co-Product"), Table119[[#This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IF(Table119[[#This Row],[Type]]="Co-product", "No", "")</f>
        <v/>
      </c>
      <c r="J61" s="25"/>
      <c r="K61" s="6"/>
      <c r="L61" s="6" t="str">
        <f>IF([2]!Table13[[#This Row],[Category]]="Transportation", _xlfn.XLOOKUP([2]!Table13[[#This Row],[Resource]], '[2]SI - Payload'!$A$10:$A$40,'[2]SI - Payload'!$B$10:$B$40,"",0), "")</f>
        <v/>
      </c>
      <c r="M61" s="6" t="str">
        <f>IF([2]!Table13[[#This Row],[Category]]="Transportation", "ton", "")</f>
        <v/>
      </c>
      <c r="N61" s="6"/>
      <c r="O61" s="6"/>
      <c r="P61" s="6" t="str">
        <f>IF(OR(Table119[[#This Row],[Type]]="Main Product", Table119[[#This Row],[Type]]="Co-Product"), Table119[[#This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IF(Table119[[#This Row],[Type]]="Co-product", "No", "")</f>
        <v/>
      </c>
      <c r="J62" s="25"/>
      <c r="K62" s="6"/>
      <c r="L62" s="6" t="str">
        <f>IF([2]!Table13[[#This Row],[Category]]="Transportation", _xlfn.XLOOKUP([2]!Table13[[#This Row],[Resource]], '[2]SI - Payload'!$A$10:$A$40,'[2]SI - Payload'!$B$10:$B$40,"",0), "")</f>
        <v/>
      </c>
      <c r="M62" s="6" t="str">
        <f>IF([2]!Table13[[#This Row],[Category]]="Transportation", "ton", "")</f>
        <v/>
      </c>
      <c r="N62" s="6"/>
      <c r="O62" s="6"/>
      <c r="P62" s="6" t="str">
        <f>IF(OR(Table119[[#This Row],[Type]]="Main Product", Table119[[#This Row],[Type]]="Co-Product"), Table119[[#This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IF(Table119[[#This Row],[Type]]="Co-product", "No", "")</f>
        <v/>
      </c>
      <c r="J63" s="25"/>
      <c r="K63" s="6"/>
      <c r="L63" s="6" t="str">
        <f>IF([2]!Table13[[#This Row],[Category]]="Transportation", _xlfn.XLOOKUP([2]!Table13[[#This Row],[Resource]], '[2]SI - Payload'!$A$10:$A$40,'[2]SI - Payload'!$B$10:$B$40,"",0), "")</f>
        <v/>
      </c>
      <c r="M63" s="6" t="str">
        <f>IF([2]!Table13[[#This Row],[Category]]="Transportation", "ton", "")</f>
        <v/>
      </c>
      <c r="N63" s="6"/>
      <c r="O63" s="6"/>
      <c r="P63" s="6" t="str">
        <f>IF(OR(Table119[[#This Row],[Type]]="Main Product", Table119[[#This Row],[Type]]="Co-Product"), Table119[[#This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IF(Table119[[#This Row],[Type]]="Co-product", "No", "")</f>
        <v/>
      </c>
      <c r="J64" s="25"/>
      <c r="K64" s="6"/>
      <c r="L64" s="6" t="str">
        <f>IF([2]!Table13[[#This Row],[Category]]="Transportation", _xlfn.XLOOKUP([2]!Table13[[#This Row],[Resource]], '[2]SI - Payload'!$A$10:$A$40,'[2]SI - Payload'!$B$10:$B$40,"",0), "")</f>
        <v/>
      </c>
      <c r="M64" s="6" t="str">
        <f>IF([2]!Table13[[#This Row],[Category]]="Transportation", "ton", "")</f>
        <v/>
      </c>
      <c r="N64" s="6"/>
      <c r="O64" s="6"/>
      <c r="P64" s="6" t="str">
        <f>IF(OR(Table119[[#This Row],[Type]]="Main Product", Table119[[#This Row],[Type]]="Co-Product"), Table119[[#This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IF(Table119[[#This Row],[Type]]="Co-product", "No", "")</f>
        <v/>
      </c>
      <c r="J65" s="25"/>
      <c r="K65" s="6"/>
      <c r="L65" s="6" t="str">
        <f>IF([2]!Table13[[#This Row],[Category]]="Transportation", _xlfn.XLOOKUP([2]!Table13[[#This Row],[Resource]], '[2]SI - Payload'!$A$10:$A$40,'[2]SI - Payload'!$B$10:$B$40,"",0), "")</f>
        <v/>
      </c>
      <c r="M65" s="6" t="str">
        <f>IF([2]!Table13[[#This Row],[Category]]="Transportation", "ton", "")</f>
        <v/>
      </c>
      <c r="N65" s="6"/>
      <c r="O65" s="6"/>
      <c r="P65" s="6" t="str">
        <f>IF(OR(Table119[[#This Row],[Type]]="Main Product", Table119[[#This Row],[Type]]="Co-Product"), Table119[[#This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IF(Table119[[#This Row],[Type]]="Co-product", "No", "")</f>
        <v/>
      </c>
      <c r="J66" s="25"/>
      <c r="K66" s="6"/>
      <c r="L66" s="6" t="str">
        <f>IF([2]!Table13[[#This Row],[Category]]="Transportation", _xlfn.XLOOKUP([2]!Table13[[#This Row],[Resource]], '[2]SI - Payload'!$A$10:$A$40,'[2]SI - Payload'!$B$10:$B$40,"",0), "")</f>
        <v/>
      </c>
      <c r="M66" s="6" t="str">
        <f>IF([2]!Table13[[#This Row],[Category]]="Transportation", "ton", "")</f>
        <v/>
      </c>
      <c r="N66" s="6"/>
      <c r="O66" s="6"/>
      <c r="P66" s="6" t="str">
        <f>IF(OR(Table119[[#This Row],[Type]]="Main Product", Table119[[#This Row],[Type]]="Co-Product"), Table119[[#This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IF(Table119[[#This Row],[Type]]="Co-product", "No", "")</f>
        <v/>
      </c>
      <c r="J67" s="25"/>
      <c r="K67" s="6"/>
      <c r="L67" s="6" t="str">
        <f>IF([2]!Table13[[#This Row],[Category]]="Transportation", _xlfn.XLOOKUP([2]!Table13[[#This Row],[Resource]], '[2]SI - Payload'!$A$10:$A$40,'[2]SI - Payload'!$B$10:$B$40,"",0), "")</f>
        <v/>
      </c>
      <c r="M67" s="6" t="str">
        <f>IF([2]!Table13[[#This Row],[Category]]="Transportation", "ton", "")</f>
        <v/>
      </c>
      <c r="N67" s="6"/>
      <c r="O67" s="6"/>
      <c r="P67" s="6" t="str">
        <f>IF(OR(Table119[[#This Row],[Type]]="Main Product", Table119[[#This Row],[Type]]="Co-Product"), Table119[[#This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IF(Table119[[#This Row],[Type]]="Co-product", "No", "")</f>
        <v/>
      </c>
      <c r="J68" s="25"/>
      <c r="K68" s="6"/>
      <c r="L68" s="6" t="str">
        <f>IF([2]!Table13[[#This Row],[Category]]="Transportation", _xlfn.XLOOKUP([2]!Table13[[#This Row],[Resource]], '[2]SI - Payload'!$A$10:$A$40,'[2]SI - Payload'!$B$10:$B$40,"",0), "")</f>
        <v/>
      </c>
      <c r="M68" s="6" t="str">
        <f>IF([2]!Table13[[#This Row],[Category]]="Transportation", "ton", "")</f>
        <v/>
      </c>
      <c r="N68" s="6"/>
      <c r="O68" s="6"/>
      <c r="P68" s="6" t="str">
        <f>IF(OR(Table119[[#This Row],[Type]]="Main Product", Table119[[#This Row],[Type]]="Co-Product"), Table119[[#This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IF(Table119[[#This Row],[Type]]="Co-product", "No", "")</f>
        <v/>
      </c>
      <c r="J69" s="25"/>
      <c r="K69" s="6"/>
      <c r="L69" s="6" t="str">
        <f>IF([2]!Table13[[#This Row],[Category]]="Transportation", _xlfn.XLOOKUP([2]!Table13[[#This Row],[Resource]], '[2]SI - Payload'!$A$10:$A$40,'[2]SI - Payload'!$B$10:$B$40,"",0), "")</f>
        <v/>
      </c>
      <c r="M69" s="6" t="str">
        <f>IF([2]!Table13[[#This Row],[Category]]="Transportation", "ton", "")</f>
        <v/>
      </c>
      <c r="N69" s="6"/>
      <c r="O69" s="6"/>
      <c r="P69" s="6" t="str">
        <f>IF(OR(Table119[[#This Row],[Type]]="Main Product", Table119[[#This Row],[Type]]="Co-Product"), Table119[[#This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IF(Table119[[#This Row],[Type]]="Co-product", "No", "")</f>
        <v/>
      </c>
      <c r="J70" s="25"/>
      <c r="K70" s="6"/>
      <c r="L70" s="6" t="str">
        <f>IF([2]!Table13[[#This Row],[Category]]="Transportation", _xlfn.XLOOKUP([2]!Table13[[#This Row],[Resource]], '[2]SI - Payload'!$A$10:$A$40,'[2]SI - Payload'!$B$10:$B$40,"",0), "")</f>
        <v/>
      </c>
      <c r="M70" s="6" t="str">
        <f>IF([2]!Table13[[#This Row],[Category]]="Transportation", "ton", "")</f>
        <v/>
      </c>
      <c r="N70" s="6"/>
      <c r="O70" s="6"/>
      <c r="P70" s="6" t="str">
        <f>IF(OR(Table119[[#This Row],[Type]]="Main Product", Table119[[#This Row],[Type]]="Co-Product"), Table119[[#This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IF(Table119[[#This Row],[Type]]="Co-product", "No", "")</f>
        <v/>
      </c>
      <c r="J71" s="25"/>
      <c r="K71" s="6"/>
      <c r="L71" s="6" t="str">
        <f>IF([2]!Table13[[#This Row],[Category]]="Transportation", _xlfn.XLOOKUP([2]!Table13[[#This Row],[Resource]], '[2]SI - Payload'!$A$10:$A$40,'[2]SI - Payload'!$B$10:$B$40,"",0), "")</f>
        <v/>
      </c>
      <c r="M71" s="6" t="str">
        <f>IF([2]!Table13[[#This Row],[Category]]="Transportation", "ton", "")</f>
        <v/>
      </c>
      <c r="N71" s="6"/>
      <c r="O71" s="6"/>
      <c r="P71" s="6" t="str">
        <f>IF(OR(Table119[[#This Row],[Type]]="Main Product", Table119[[#This Row],[Type]]="Co-Product"), Table119[[#This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IF(Table119[[#This Row],[Type]]="Co-product", "No", "")</f>
        <v/>
      </c>
      <c r="J72" s="25"/>
      <c r="K72" s="6"/>
      <c r="L72" s="6" t="str">
        <f>IF([2]!Table13[[#This Row],[Category]]="Transportation", _xlfn.XLOOKUP([2]!Table13[[#This Row],[Resource]], '[2]SI - Payload'!$A$10:$A$40,'[2]SI - Payload'!$B$10:$B$40,"",0), "")</f>
        <v/>
      </c>
      <c r="M72" s="6" t="str">
        <f>IF([2]!Table13[[#This Row],[Category]]="Transportation", "ton", "")</f>
        <v/>
      </c>
      <c r="N72" s="6"/>
      <c r="O72" s="6"/>
      <c r="P72" s="6" t="str">
        <f>IF(OR(Table119[[#This Row],[Type]]="Main Product", Table119[[#This Row],[Type]]="Co-Product"), Table119[[#This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IF(Table119[[#This Row],[Type]]="Co-product", "No", "")</f>
        <v/>
      </c>
      <c r="J73" s="25"/>
      <c r="K73" s="6"/>
      <c r="L73" s="6" t="str">
        <f>IF([2]!Table13[[#This Row],[Category]]="Transportation", _xlfn.XLOOKUP([2]!Table13[[#This Row],[Resource]], '[2]SI - Payload'!$A$10:$A$40,'[2]SI - Payload'!$B$10:$B$40,"",0), "")</f>
        <v/>
      </c>
      <c r="M73" s="6" t="str">
        <f>IF([2]!Table13[[#This Row],[Category]]="Transportation", "ton", "")</f>
        <v/>
      </c>
      <c r="N73" s="6"/>
      <c r="O73" s="6"/>
      <c r="P73" s="6" t="str">
        <f>IF(OR(Table119[[#This Row],[Type]]="Main Product", Table119[[#This Row],[Type]]="Co-Product"), Table119[[#This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IF(Table119[[#This Row],[Type]]="Co-product", "No", "")</f>
        <v/>
      </c>
      <c r="J74" s="25"/>
      <c r="K74" s="6"/>
      <c r="L74" s="6" t="str">
        <f>IF([2]!Table13[[#This Row],[Category]]="Transportation", _xlfn.XLOOKUP([2]!Table13[[#This Row],[Resource]], '[2]SI - Payload'!$A$10:$A$40,'[2]SI - Payload'!$B$10:$B$40,"",0), "")</f>
        <v/>
      </c>
      <c r="M74" s="6" t="str">
        <f>IF([2]!Table13[[#This Row],[Category]]="Transportation", "ton", "")</f>
        <v/>
      </c>
      <c r="N74" s="6"/>
      <c r="O74" s="6"/>
      <c r="P74" s="6" t="str">
        <f>IF(OR(Table119[[#This Row],[Type]]="Main Product", Table119[[#This Row],[Type]]="Co-Product"), Table119[[#This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IF(Table119[[#This Row],[Type]]="Co-product", "No", "")</f>
        <v/>
      </c>
      <c r="J75" s="25"/>
      <c r="K75" s="6"/>
      <c r="L75" s="6" t="str">
        <f>IF([2]!Table13[[#This Row],[Category]]="Transportation", _xlfn.XLOOKUP([2]!Table13[[#This Row],[Resource]], '[2]SI - Payload'!$A$10:$A$40,'[2]SI - Payload'!$B$10:$B$40,"",0), "")</f>
        <v/>
      </c>
      <c r="M75" s="6" t="str">
        <f>IF([2]!Table13[[#This Row],[Category]]="Transportation", "ton", "")</f>
        <v/>
      </c>
      <c r="N75" s="6"/>
      <c r="O75" s="6"/>
      <c r="P75" s="6" t="str">
        <f>IF(OR(Table119[[#This Row],[Type]]="Main Product", Table119[[#This Row],[Type]]="Co-Product"), Table119[[#This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IF(Table119[[#This Row],[Type]]="Co-product", "No", "")</f>
        <v/>
      </c>
      <c r="J76" s="25"/>
      <c r="K76" s="6"/>
      <c r="L76" s="6" t="str">
        <f>IF([2]!Table13[[#This Row],[Category]]="Transportation", _xlfn.XLOOKUP([2]!Table13[[#This Row],[Resource]], '[2]SI - Payload'!$A$10:$A$40,'[2]SI - Payload'!$B$10:$B$40,"",0), "")</f>
        <v/>
      </c>
      <c r="M76" s="6" t="str">
        <f>IF([2]!Table13[[#This Row],[Category]]="Transportation", "ton", "")</f>
        <v/>
      </c>
      <c r="N76" s="6"/>
      <c r="O76" s="6"/>
      <c r="P76" s="6" t="str">
        <f>IF(OR(Table119[[#This Row],[Type]]="Main Product", Table119[[#This Row],[Type]]="Co-Product"), Table119[[#This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IF(Table119[[#This Row],[Type]]="Co-product", "No", "")</f>
        <v/>
      </c>
      <c r="J77" s="25"/>
      <c r="K77" s="6"/>
      <c r="L77" s="6" t="str">
        <f>IF([2]!Table13[[#This Row],[Category]]="Transportation", _xlfn.XLOOKUP([2]!Table13[[#This Row],[Resource]], '[2]SI - Payload'!$A$10:$A$40,'[2]SI - Payload'!$B$10:$B$40,"",0), "")</f>
        <v/>
      </c>
      <c r="M77" s="6" t="str">
        <f>IF([2]!Table13[[#This Row],[Category]]="Transportation", "ton", "")</f>
        <v/>
      </c>
      <c r="N77" s="6"/>
      <c r="O77" s="6"/>
      <c r="P77" s="6" t="str">
        <f>IF(OR(Table119[[#This Row],[Type]]="Main Product", Table119[[#This Row],[Type]]="Co-Product"), Table119[[#This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IF(Table119[[#This Row],[Type]]="Co-product", "No", "")</f>
        <v/>
      </c>
      <c r="J78" s="25"/>
      <c r="K78" s="6"/>
      <c r="L78" s="6" t="str">
        <f>IF([2]!Table13[[#This Row],[Category]]="Transportation", _xlfn.XLOOKUP([2]!Table13[[#This Row],[Resource]], '[2]SI - Payload'!$A$10:$A$40,'[2]SI - Payload'!$B$10:$B$40,"",0), "")</f>
        <v/>
      </c>
      <c r="M78" s="6" t="str">
        <f>IF([2]!Table13[[#This Row],[Category]]="Transportation", "ton", "")</f>
        <v/>
      </c>
      <c r="N78" s="6"/>
      <c r="O78" s="6"/>
      <c r="P78" s="6" t="str">
        <f>IF(OR(Table119[[#This Row],[Type]]="Main Product", Table119[[#This Row],[Type]]="Co-Product"), Table119[[#This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IF(Table119[[#This Row],[Type]]="Co-product", "No", "")</f>
        <v/>
      </c>
      <c r="J79" s="25"/>
      <c r="K79" s="6"/>
      <c r="L79" s="6" t="str">
        <f>IF([2]!Table13[[#This Row],[Category]]="Transportation", _xlfn.XLOOKUP([2]!Table13[[#This Row],[Resource]], '[2]SI - Payload'!$A$10:$A$40,'[2]SI - Payload'!$B$10:$B$40,"",0), "")</f>
        <v/>
      </c>
      <c r="M79" s="6" t="str">
        <f>IF([2]!Table13[[#This Row],[Category]]="Transportation", "ton", "")</f>
        <v/>
      </c>
      <c r="N79" s="6"/>
      <c r="O79" s="6"/>
      <c r="P79" s="6" t="str">
        <f>IF(OR(Table119[[#This Row],[Type]]="Main Product", Table119[[#This Row],[Type]]="Co-Product"), Table119[[#This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IF(Table119[[#This Row],[Type]]="Co-product", "No", "")</f>
        <v/>
      </c>
      <c r="J80" s="25"/>
      <c r="K80" s="6"/>
      <c r="L80" s="6" t="str">
        <f>IF([2]!Table13[[#This Row],[Category]]="Transportation", _xlfn.XLOOKUP([2]!Table13[[#This Row],[Resource]], '[2]SI - Payload'!$A$10:$A$40,'[2]SI - Payload'!$B$10:$B$40,"",0), "")</f>
        <v/>
      </c>
      <c r="M80" s="6" t="str">
        <f>IF([2]!Table13[[#This Row],[Category]]="Transportation", "ton", "")</f>
        <v/>
      </c>
      <c r="N80" s="6"/>
      <c r="O80" s="6"/>
      <c r="P80" s="6" t="str">
        <f>IF(OR(Table119[[#This Row],[Type]]="Main Product", Table119[[#This Row],[Type]]="Co-Product"), Table119[[#This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IF(Table119[[#This Row],[Type]]="Co-product", "No", "")</f>
        <v/>
      </c>
      <c r="J81" s="25"/>
      <c r="K81" s="6"/>
      <c r="L81" s="6" t="str">
        <f>IF([2]!Table13[[#This Row],[Category]]="Transportation", _xlfn.XLOOKUP([2]!Table13[[#This Row],[Resource]], '[2]SI - Payload'!$A$10:$A$40,'[2]SI - Payload'!$B$10:$B$40,"",0), "")</f>
        <v/>
      </c>
      <c r="M81" s="6" t="str">
        <f>IF([2]!Table13[[#This Row],[Category]]="Transportation", "ton", "")</f>
        <v/>
      </c>
      <c r="N81" s="6"/>
      <c r="O81" s="6"/>
      <c r="P81" s="6" t="str">
        <f>IF(OR(Table119[[#This Row],[Type]]="Main Product", Table119[[#This Row],[Type]]="Co-Product"), Table119[[#This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IF(Table119[[#This Row],[Type]]="Co-product", "No", "")</f>
        <v/>
      </c>
      <c r="J82" s="25"/>
      <c r="K82" s="6"/>
      <c r="L82" s="6" t="str">
        <f>IF([2]!Table13[[#This Row],[Category]]="Transportation", _xlfn.XLOOKUP([2]!Table13[[#This Row],[Resource]], '[2]SI - Payload'!$A$10:$A$40,'[2]SI - Payload'!$B$10:$B$40,"",0), "")</f>
        <v/>
      </c>
      <c r="M82" s="6" t="str">
        <f>IF([2]!Table13[[#This Row],[Category]]="Transportation", "ton", "")</f>
        <v/>
      </c>
      <c r="N82" s="6"/>
      <c r="O82" s="6"/>
      <c r="P82" s="6" t="str">
        <f>IF(OR(Table119[[#This Row],[Type]]="Main Product", Table119[[#This Row],[Type]]="Co-Product"), Table119[[#This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IF(Table119[[#This Row],[Type]]="Co-product", "No", "")</f>
        <v/>
      </c>
      <c r="J83" s="25"/>
      <c r="K83" s="6"/>
      <c r="L83" s="6" t="str">
        <f>IF([2]!Table13[[#This Row],[Category]]="Transportation", _xlfn.XLOOKUP([2]!Table13[[#This Row],[Resource]], '[2]SI - Payload'!$A$10:$A$40,'[2]SI - Payload'!$B$10:$B$40,"",0), "")</f>
        <v/>
      </c>
      <c r="M83" s="6" t="str">
        <f>IF([2]!Table13[[#This Row],[Category]]="Transportation", "ton", "")</f>
        <v/>
      </c>
      <c r="N83" s="6"/>
      <c r="O83" s="6"/>
      <c r="P83" s="6" t="str">
        <f>IF(OR(Table119[[#This Row],[Type]]="Main Product", Table119[[#This Row],[Type]]="Co-Product"), Table119[[#This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IF(Table119[[#This Row],[Type]]="Co-product", "No", "")</f>
        <v/>
      </c>
      <c r="J84" s="25"/>
      <c r="K84" s="6"/>
      <c r="L84" s="6" t="str">
        <f>IF([2]!Table13[[#This Row],[Category]]="Transportation", _xlfn.XLOOKUP([2]!Table13[[#This Row],[Resource]], '[2]SI - Payload'!$A$10:$A$40,'[2]SI - Payload'!$B$10:$B$40,"",0), "")</f>
        <v/>
      </c>
      <c r="M84" s="6" t="str">
        <f>IF([2]!Table13[[#This Row],[Category]]="Transportation", "ton", "")</f>
        <v/>
      </c>
      <c r="N84" s="6"/>
      <c r="O84" s="6"/>
      <c r="P84" s="6" t="str">
        <f>IF(OR(Table119[[#This Row],[Type]]="Main Product", Table119[[#This Row],[Type]]="Co-Product"), Table119[[#This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IF(Table119[[#This Row],[Type]]="Co-product", "No", "")</f>
        <v/>
      </c>
      <c r="J85" s="25"/>
      <c r="K85" s="6"/>
      <c r="L85" s="6" t="str">
        <f>IF([2]!Table13[[#This Row],[Category]]="Transportation", _xlfn.XLOOKUP([2]!Table13[[#This Row],[Resource]], '[2]SI - Payload'!$A$10:$A$40,'[2]SI - Payload'!$B$10:$B$40,"",0), "")</f>
        <v/>
      </c>
      <c r="M85" s="6" t="str">
        <f>IF([2]!Table13[[#This Row],[Category]]="Transportation", "ton", "")</f>
        <v/>
      </c>
      <c r="N85" s="6"/>
      <c r="O85" s="6"/>
      <c r="P85" s="6" t="str">
        <f>IF(OR(Table119[[#This Row],[Type]]="Main Product", Table119[[#This Row],[Type]]="Co-Product"), Table119[[#This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IF(Table119[[#This Row],[Type]]="Co-product", "No", "")</f>
        <v/>
      </c>
      <c r="J86" s="25"/>
      <c r="K86" s="6"/>
      <c r="L86" s="6" t="str">
        <f>IF([2]!Table13[[#This Row],[Category]]="Transportation", _xlfn.XLOOKUP([2]!Table13[[#This Row],[Resource]], '[2]SI - Payload'!$A$10:$A$40,'[2]SI - Payload'!$B$10:$B$40,"",0), "")</f>
        <v/>
      </c>
      <c r="M86" s="6" t="str">
        <f>IF([2]!Table13[[#This Row],[Category]]="Transportation", "ton", "")</f>
        <v/>
      </c>
      <c r="N86" s="6"/>
      <c r="O86" s="6"/>
      <c r="P86" s="6" t="str">
        <f>IF(OR(Table119[[#This Row],[Type]]="Main Product", Table119[[#This Row],[Type]]="Co-Product"), Table119[[#This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IF(Table119[[#This Row],[Type]]="Co-product", "No", "")</f>
        <v/>
      </c>
      <c r="J87" s="25"/>
      <c r="K87" s="6"/>
      <c r="L87" s="6" t="str">
        <f>IF([2]!Table13[[#This Row],[Category]]="Transportation", _xlfn.XLOOKUP([2]!Table13[[#This Row],[Resource]], '[2]SI - Payload'!$A$10:$A$40,'[2]SI - Payload'!$B$10:$B$40,"",0), "")</f>
        <v/>
      </c>
      <c r="M87" s="6" t="str">
        <f>IF([2]!Table13[[#This Row],[Category]]="Transportation", "ton", "")</f>
        <v/>
      </c>
      <c r="N87" s="6"/>
      <c r="O87" s="6"/>
      <c r="P87" s="6" t="str">
        <f>IF(OR(Table119[[#This Row],[Type]]="Main Product", Table119[[#This Row],[Type]]="Co-Product"), Table119[[#This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IF(Table119[[#This Row],[Type]]="Co-product", "No", "")</f>
        <v/>
      </c>
      <c r="J88" s="25"/>
      <c r="K88" s="6"/>
      <c r="L88" s="6" t="str">
        <f>IF([2]!Table13[[#This Row],[Category]]="Transportation", _xlfn.XLOOKUP([2]!Table13[[#This Row],[Resource]], '[2]SI - Payload'!$A$10:$A$40,'[2]SI - Payload'!$B$10:$B$40,"",0), "")</f>
        <v/>
      </c>
      <c r="M88" s="6" t="str">
        <f>IF([2]!Table13[[#This Row],[Category]]="Transportation", "ton", "")</f>
        <v/>
      </c>
      <c r="N88" s="6"/>
      <c r="O88" s="6"/>
      <c r="P88" s="6" t="str">
        <f>IF(OR(Table119[[#This Row],[Type]]="Main Product", Table119[[#This Row],[Type]]="Co-Product"), Table119[[#This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IF(Table119[[#This Row],[Type]]="Co-product", "No", "")</f>
        <v/>
      </c>
      <c r="J89" s="25"/>
      <c r="K89" s="6"/>
      <c r="L89" s="6" t="str">
        <f>IF([2]!Table13[[#This Row],[Category]]="Transportation", _xlfn.XLOOKUP([2]!Table13[[#This Row],[Resource]], '[2]SI - Payload'!$A$10:$A$40,'[2]SI - Payload'!$B$10:$B$40,"",0), "")</f>
        <v/>
      </c>
      <c r="M89" s="6" t="str">
        <f>IF([2]!Table13[[#This Row],[Category]]="Transportation", "ton", "")</f>
        <v/>
      </c>
      <c r="N89" s="6"/>
      <c r="O89" s="6"/>
      <c r="P89" s="6" t="str">
        <f>IF(OR(Table119[[#This Row],[Type]]="Main Product", Table119[[#This Row],[Type]]="Co-Product"), Table119[[#This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IF(Table119[[#This Row],[Type]]="Co-product", "No", "")</f>
        <v/>
      </c>
      <c r="J90" s="25"/>
      <c r="K90" s="6"/>
      <c r="L90" s="6" t="str">
        <f>IF([2]!Table13[[#This Row],[Category]]="Transportation", _xlfn.XLOOKUP([2]!Table13[[#This Row],[Resource]], '[2]SI - Payload'!$A$10:$A$40,'[2]SI - Payload'!$B$10:$B$40,"",0), "")</f>
        <v/>
      </c>
      <c r="M90" s="6" t="str">
        <f>IF([2]!Table13[[#This Row],[Category]]="Transportation", "ton", "")</f>
        <v/>
      </c>
      <c r="N90" s="6"/>
      <c r="O90" s="6"/>
      <c r="P90" s="6" t="str">
        <f>IF(OR(Table119[[#This Row],[Type]]="Main Product", Table119[[#This Row],[Type]]="Co-Product"), Table119[[#This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IF(Table119[[#This Row],[Type]]="Co-product", "No", "")</f>
        <v/>
      </c>
      <c r="J91" s="25"/>
      <c r="K91" s="6"/>
      <c r="L91" s="6" t="str">
        <f>IF([2]!Table13[[#This Row],[Category]]="Transportation", _xlfn.XLOOKUP([2]!Table13[[#This Row],[Resource]], '[2]SI - Payload'!$A$10:$A$40,'[2]SI - Payload'!$B$10:$B$40,"",0), "")</f>
        <v/>
      </c>
      <c r="M91" s="6" t="str">
        <f>IF([2]!Table13[[#This Row],[Category]]="Transportation", "ton", "")</f>
        <v/>
      </c>
      <c r="N91" s="6"/>
      <c r="O91" s="6"/>
      <c r="P91" s="6" t="str">
        <f>IF(OR(Table119[[#This Row],[Type]]="Main Product", Table119[[#This Row],[Type]]="Co-Product"), Table119[[#This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IF(Table119[[#This Row],[Type]]="Co-product", "No", "")</f>
        <v/>
      </c>
      <c r="J92" s="25"/>
      <c r="K92" s="6"/>
      <c r="L92" s="6" t="str">
        <f>IF([2]!Table13[[#This Row],[Category]]="Transportation", _xlfn.XLOOKUP([2]!Table13[[#This Row],[Resource]], '[2]SI - Payload'!$A$10:$A$40,'[2]SI - Payload'!$B$10:$B$40,"",0), "")</f>
        <v/>
      </c>
      <c r="M92" s="6" t="str">
        <f>IF([2]!Table13[[#This Row],[Category]]="Transportation", "ton", "")</f>
        <v/>
      </c>
      <c r="N92" s="6"/>
      <c r="O92" s="6"/>
      <c r="P92" s="6" t="str">
        <f>IF(OR(Table119[[#This Row],[Type]]="Main Product", Table119[[#This Row],[Type]]="Co-Product"), Table119[[#This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IF(Table119[[#This Row],[Type]]="Co-product", "No", "")</f>
        <v/>
      </c>
      <c r="J93" s="25"/>
      <c r="K93" s="6"/>
      <c r="L93" s="6" t="str">
        <f>IF([2]!Table13[[#This Row],[Category]]="Transportation", _xlfn.XLOOKUP([2]!Table13[[#This Row],[Resource]], '[2]SI - Payload'!$A$10:$A$40,'[2]SI - Payload'!$B$10:$B$40,"",0), "")</f>
        <v/>
      </c>
      <c r="M93" s="6" t="str">
        <f>IF([2]!Table13[[#This Row],[Category]]="Transportation", "ton", "")</f>
        <v/>
      </c>
      <c r="N93" s="6"/>
      <c r="O93" s="6"/>
      <c r="P93" s="6" t="str">
        <f>IF(OR(Table119[[#This Row],[Type]]="Main Product", Table119[[#This Row],[Type]]="Co-Product"), Table119[[#This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IF(Table119[[#This Row],[Type]]="Co-product", "No", "")</f>
        <v/>
      </c>
      <c r="J94" s="25"/>
      <c r="K94" s="6"/>
      <c r="L94" s="6" t="str">
        <f>IF([2]!Table13[[#This Row],[Category]]="Transportation", _xlfn.XLOOKUP([2]!Table13[[#This Row],[Resource]], '[2]SI - Payload'!$A$10:$A$40,'[2]SI - Payload'!$B$10:$B$40,"",0), "")</f>
        <v/>
      </c>
      <c r="M94" s="6" t="str">
        <f>IF([2]!Table13[[#This Row],[Category]]="Transportation", "ton", "")</f>
        <v/>
      </c>
      <c r="N94" s="6"/>
      <c r="O94" s="6"/>
      <c r="P94" s="6" t="str">
        <f>IF(OR(Table119[[#This Row],[Type]]="Main Product", Table119[[#This Row],[Type]]="Co-Product"), Table119[[#This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IF(Table119[[#This Row],[Type]]="Co-product", "No", "")</f>
        <v/>
      </c>
      <c r="J95" s="25"/>
      <c r="K95" s="6"/>
      <c r="L95" s="6" t="str">
        <f>IF([2]!Table13[[#This Row],[Category]]="Transportation", _xlfn.XLOOKUP([2]!Table13[[#This Row],[Resource]], '[2]SI - Payload'!$A$10:$A$40,'[2]SI - Payload'!$B$10:$B$40,"",0), "")</f>
        <v/>
      </c>
      <c r="M95" s="6" t="str">
        <f>IF([2]!Table13[[#This Row],[Category]]="Transportation", "ton", "")</f>
        <v/>
      </c>
      <c r="N95" s="6"/>
      <c r="O95" s="6"/>
      <c r="P95" s="6" t="str">
        <f>IF(OR(Table119[[#This Row],[Type]]="Main Product", Table119[[#This Row],[Type]]="Co-Product"), Table119[[#This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IF(Table119[[#This Row],[Type]]="Co-product", "No", "")</f>
        <v/>
      </c>
      <c r="J96" s="25"/>
      <c r="K96" s="6"/>
      <c r="L96" s="6" t="str">
        <f>IF([2]!Table13[[#This Row],[Category]]="Transportation", _xlfn.XLOOKUP([2]!Table13[[#This Row],[Resource]], '[2]SI - Payload'!$A$10:$A$40,'[2]SI - Payload'!$B$10:$B$40,"",0), "")</f>
        <v/>
      </c>
      <c r="M96" s="6" t="str">
        <f>IF([2]!Table13[[#This Row],[Category]]="Transportation", "ton", "")</f>
        <v/>
      </c>
      <c r="N96" s="6"/>
      <c r="O96" s="6"/>
      <c r="P96" s="6" t="str">
        <f>IF(OR(Table119[[#This Row],[Type]]="Main Product", Table119[[#This Row],[Type]]="Co-Product"), Table119[[#This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IF(Table119[[#This Row],[Type]]="Co-product", "No", "")</f>
        <v/>
      </c>
      <c r="J97" s="25"/>
      <c r="K97" s="6"/>
      <c r="L97" s="6" t="str">
        <f>IF([2]!Table13[[#This Row],[Category]]="Transportation", _xlfn.XLOOKUP([2]!Table13[[#This Row],[Resource]], '[2]SI - Payload'!$A$10:$A$40,'[2]SI - Payload'!$B$10:$B$40,"",0), "")</f>
        <v/>
      </c>
      <c r="M97" s="6" t="str">
        <f>IF([2]!Table13[[#This Row],[Category]]="Transportation", "ton", "")</f>
        <v/>
      </c>
      <c r="N97" s="6"/>
      <c r="O97" s="6"/>
      <c r="P97" s="6" t="str">
        <f>IF(OR(Table119[[#This Row],[Type]]="Main Product", Table119[[#This Row],[Type]]="Co-Product"), Table119[[#This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IF(Table119[[#This Row],[Type]]="Co-product", "No", "")</f>
        <v/>
      </c>
      <c r="J98" s="25"/>
      <c r="K98" s="6"/>
      <c r="L98" s="6" t="str">
        <f>IF([2]!Table13[[#This Row],[Category]]="Transportation", _xlfn.XLOOKUP([2]!Table13[[#This Row],[Resource]], '[2]SI - Payload'!$A$10:$A$40,'[2]SI - Payload'!$B$10:$B$40,"",0), "")</f>
        <v/>
      </c>
      <c r="M98" s="6" t="str">
        <f>IF([2]!Table13[[#This Row],[Category]]="Transportation", "ton", "")</f>
        <v/>
      </c>
      <c r="N98" s="6"/>
      <c r="O98" s="6"/>
      <c r="P98" s="6" t="str">
        <f>IF(OR(Table119[[#This Row],[Type]]="Main Product", Table119[[#This Row],[Type]]="Co-Product"), Table119[[#This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IF(Table119[[#This Row],[Type]]="Co-product", "No", "")</f>
        <v/>
      </c>
      <c r="J99" s="25"/>
      <c r="K99" s="6"/>
      <c r="L99" s="6" t="str">
        <f>IF([2]!Table13[[#This Row],[Category]]="Transportation", _xlfn.XLOOKUP([2]!Table13[[#This Row],[Resource]], '[2]SI - Payload'!$A$10:$A$40,'[2]SI - Payload'!$B$10:$B$40,"",0), "")</f>
        <v/>
      </c>
      <c r="M99" s="6" t="str">
        <f>IF([2]!Table13[[#This Row],[Category]]="Transportation", "ton", "")</f>
        <v/>
      </c>
      <c r="N99" s="6"/>
      <c r="O99" s="6"/>
      <c r="P99" s="6" t="str">
        <f>IF(OR(Table119[[#This Row],[Type]]="Main Product", Table119[[#This Row],[Type]]="Co-Product"), Table119[[#This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IF(Table119[[#This Row],[Type]]="Co-product", "No", "")</f>
        <v/>
      </c>
      <c r="J100" s="25"/>
      <c r="K100" s="6"/>
      <c r="L100" s="6" t="str">
        <f>IF([2]!Table13[[#This Row],[Category]]="Transportation", _xlfn.XLOOKUP([2]!Table13[[#This Row],[Resource]], '[2]SI - Payload'!$A$10:$A$40,'[2]SI - Payload'!$B$10:$B$40,"",0), "")</f>
        <v/>
      </c>
      <c r="M100" s="6" t="str">
        <f>IF([2]!Table13[[#This Row],[Category]]="Transportation", "ton", "")</f>
        <v/>
      </c>
      <c r="N100" s="6"/>
      <c r="O100" s="6"/>
      <c r="P100" s="6" t="str">
        <f>IF(OR(Table119[[#This Row],[Type]]="Main Product", Table119[[#This Row],[Type]]="Co-Product"), Table119[[#This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0907C78-50DB-40CD-BF31-E869D59AE507}">
      <formula1>0</formula1>
      <formula2>1</formula2>
    </dataValidation>
    <dataValidation type="list" allowBlank="1" showInputMessage="1" showErrorMessage="1" sqref="M6:M100" xr:uid="{9BDB1576-028D-463E-818B-0A8ECAE195D7}">
      <formula1>payload_units</formula1>
    </dataValidation>
    <dataValidation type="decimal" operator="greaterThan" allowBlank="1" showInputMessage="1" showErrorMessage="1" error="Please type a positive number." sqref="L6:L100" xr:uid="{292EEB00-9134-49C2-A7DF-AA12C78759EB}">
      <formula1>0</formula1>
    </dataValidation>
    <dataValidation type="decimal" operator="greaterThan" allowBlank="1" showInputMessage="1" showErrorMessage="1" error="Please type a positive price." sqref="N6:N100" xr:uid="{46CEA88A-6246-40EF-8315-26AF6ED00BBC}">
      <formula1>0</formula1>
    </dataValidation>
    <dataValidation type="decimal" allowBlank="1" showInputMessage="1" showErrorMessage="1" error="Please type a number between 0 and 1." sqref="G6:G100" xr:uid="{77F89925-4591-429D-8E37-4C68373E454E}">
      <formula1>0</formula1>
      <formula2>1</formula2>
    </dataValidation>
    <dataValidation type="custom" allowBlank="1" showInputMessage="1" showErrorMessage="1" sqref="E6:E100" xr:uid="{FF95AC77-132D-4C5C-BC5A-165454E583BE}">
      <formula1>ISNUMBER(E6)</formula1>
    </dataValidation>
    <dataValidation type="list" allowBlank="1" showInputMessage="1" showErrorMessage="1" sqref="C2" xr:uid="{8DEA6593-52EC-4F6B-866F-A83108FB84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4CD1DCA-55DF-418D-962D-9143E249930E}">
          <x14:formula1>
            <xm:f>IF($B10="Transportation",  transport_units, INDIRECT(_xlfn.XLOOKUP($C10, 'SI - Units'!$F$26:$F$36,'SI - Units'!$G$26:$G$36,"mass",0)))</xm:f>
          </x14:formula1>
          <xm:sqref>F10:F100</xm:sqref>
        </x14:dataValidation>
        <x14:dataValidation type="list" allowBlank="1" showInputMessage="1" showErrorMessage="1" xr:uid="{3D60AD7B-9F07-4BBB-94F0-D53C45516D9E}">
          <x14:formula1>
            <xm:f>INDIRECT("p_"&amp;_xlfn.XLOOKUP($C6,'SI - Units'!$F$26:$F$36,'SI - Units'!$G$26:$G$36,"mass",0))</xm:f>
          </x14:formula1>
          <xm:sqref>O6:O100</xm:sqref>
        </x14:dataValidation>
        <x14:dataValidation type="list" allowBlank="1" showInputMessage="1" showErrorMessage="1" xr:uid="{96392CE8-85DD-441F-91E4-F360C3EFFE00}">
          <x14:formula1>
            <xm:f>INDIRECT(_xlfn.XLOOKUP($P6,'SI - End Use'!$A$11:$A$17,'SI - End Use'!$B$11:$B$17,"other_end_use",0))</xm:f>
          </x14:formula1>
          <xm:sqref>Q6:R100</xm:sqref>
        </x14:dataValidation>
        <x14:dataValidation type="list" allowBlank="1" showInputMessage="1" xr:uid="{52AE5D86-91B6-4A73-B9D8-57A2F14FFC3C}">
          <x14:formula1>
            <xm:f>INDIRECT(_xlfn.XLOOKUP($C6,'SI - End Use'!$A$11:$A$17,'SI - End Use'!$B$11:$B$17,"other_end_use",0))</xm:f>
          </x14:formula1>
          <xm:sqref>D6:D100</xm:sqref>
        </x14:dataValidation>
        <x14:dataValidation type="list" allowBlank="1" showInputMessage="1" showErrorMessage="1" xr:uid="{0286690F-3398-4CE7-88D5-FA75866519EA}">
          <x14:formula1>
            <xm:f>INDIRECT(_xlfn.XLOOKUP($B6, 'SI - Resources'!$R$1:$R$10,'SI - Resources'!$S$1:$S$10, "placeholder_resource", 0))</xm:f>
          </x14:formula1>
          <xm:sqref>P6:P100 C6:C100</xm:sqref>
        </x14:dataValidation>
        <x14:dataValidation type="list" allowBlank="1" showInputMessage="1" showErrorMessage="1" xr:uid="{7780D592-611F-4307-8D8C-86B630EA7080}">
          <x14:formula1>
            <xm:f>'SI - Co-products'!$B$2:$B$6</xm:f>
          </x14:formula1>
          <xm:sqref>A6:A100</xm:sqref>
        </x14:dataValidation>
        <x14:dataValidation type="list" allowBlank="1" showInputMessage="1" showErrorMessage="1" xr:uid="{764A906C-46B7-40BA-9CEB-828A346BE8C1}">
          <x14:formula1>
            <xm:f>'SI - Resources'!$A$1:$J$1</xm:f>
          </x14:formula1>
          <xm:sqref>B6:B100</xm:sqref>
        </x14:dataValidation>
        <x14:dataValidation type="list" allowBlank="1" showInputMessage="1" showErrorMessage="1" xr:uid="{9CAA2A78-9E53-487B-9FEC-EED348AA6F38}">
          <x14:formula1>
            <xm:f>'SI - Co-products'!$C$2:$C$4</xm:f>
          </x14:formula1>
          <xm:sqref>I6:I100</xm:sqref>
        </x14:dataValidation>
        <x14:dataValidation type="list" allowBlank="1" showInputMessage="1" showErrorMessage="1" xr:uid="{36B3239E-F0D5-469B-B282-2E5B9D65A470}">
          <x14:formula1>
            <xm:f>'SI - Co-products'!$A$2:$A$5</xm:f>
          </x14:formula1>
          <xm:sqref>K6:K100</xm:sqref>
        </x14:dataValidation>
        <x14:dataValidation type="list" allowBlank="1" showInputMessage="1" showErrorMessage="1" xr:uid="{1066BC3F-A5A6-4247-978F-C4E3200E2B0D}">
          <x14:formula1>
            <xm:f>_xlfn.XLOOKUP(_xlfn.XLOOKUP(#REF!,'SI - Units'!$B$24:$B$109,'SI - Units'!$C$24:$C$109),'SI - Units'!$A$2:$A$8,'SI - Units'!$B$2:$R$8)</xm:f>
          </x14:formula1>
          <xm:sqref>F5</xm:sqref>
        </x14:dataValidation>
        <x14:dataValidation type="list" allowBlank="1" showInputMessage="1" showErrorMessage="1" xr:uid="{C2184CBA-12DD-4399-8930-AE4D3EF80FD6}">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INL Data</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2022-11-08T03:43:34Z</dcterms:modified>
</cp:coreProperties>
</file>