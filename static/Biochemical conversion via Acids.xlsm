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0A825CDE-0FB4-417F-A322-CDD6F909C2B1}" xr6:coauthVersionLast="47" xr6:coauthVersionMax="47" xr10:uidLastSave="{00000000-0000-0000-0000-000000000000}"/>
  <bookViews>
    <workbookView xWindow="28680" yWindow="-120" windowWidth="29040" windowHeight="15840" tabRatio="685" firstSheet="8"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5" i="37" l="1"/>
  <c r="F35" i="37"/>
  <c r="E35" i="37"/>
  <c r="F32" i="37"/>
  <c r="K32" i="37"/>
  <c r="E32"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2" i="37"/>
  <c r="Q102" i="37" s="1"/>
  <c r="M102" i="37"/>
  <c r="L102" i="37"/>
  <c r="I102" i="37"/>
  <c r="C102" i="37"/>
  <c r="F102" i="37" s="1" a="1"/>
  <c r="F102" i="37" s="1"/>
  <c r="P101" i="37"/>
  <c r="Q101" i="37" s="1"/>
  <c r="M101" i="37"/>
  <c r="L101" i="37"/>
  <c r="I101" i="37"/>
  <c r="C101" i="37"/>
  <c r="D101" i="37" s="1"/>
  <c r="P100" i="37"/>
  <c r="Q100" i="37" s="1"/>
  <c r="M100" i="37"/>
  <c r="L100" i="37"/>
  <c r="I100" i="37"/>
  <c r="C100" i="37"/>
  <c r="D100" i="37" s="1"/>
  <c r="P99" i="37"/>
  <c r="Q99" i="37" s="1"/>
  <c r="M99" i="37"/>
  <c r="L99" i="37"/>
  <c r="I99" i="37"/>
  <c r="C99" i="37"/>
  <c r="D99" i="37" s="1"/>
  <c r="P98" i="37"/>
  <c r="Q98" i="37" s="1"/>
  <c r="M98" i="37"/>
  <c r="L98" i="37"/>
  <c r="I98" i="37"/>
  <c r="C98" i="37"/>
  <c r="F98" i="37" s="1" a="1"/>
  <c r="F98" i="37" s="1"/>
  <c r="Q97" i="37"/>
  <c r="P97" i="37"/>
  <c r="M97" i="37"/>
  <c r="L97" i="37"/>
  <c r="I97" i="37"/>
  <c r="C97" i="37"/>
  <c r="F97" i="37" s="1" a="1"/>
  <c r="F97" i="37" s="1"/>
  <c r="P96" i="37"/>
  <c r="Q96" i="37" s="1"/>
  <c r="M96" i="37"/>
  <c r="L96" i="37"/>
  <c r="I96" i="37"/>
  <c r="D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D93" i="37" s="1"/>
  <c r="P92" i="37"/>
  <c r="Q92" i="37" s="1"/>
  <c r="M92" i="37"/>
  <c r="L92" i="37"/>
  <c r="I92" i="37"/>
  <c r="C92" i="37"/>
  <c r="F92" i="37" s="1" a="1"/>
  <c r="F92" i="37" s="1"/>
  <c r="P91" i="37"/>
  <c r="Q91" i="37" s="1"/>
  <c r="M91" i="37"/>
  <c r="L91" i="37"/>
  <c r="I91" i="37"/>
  <c r="C91" i="37"/>
  <c r="D91" i="37" s="1"/>
  <c r="Q90" i="37"/>
  <c r="P90" i="37"/>
  <c r="M90" i="37"/>
  <c r="L90" i="37"/>
  <c r="I90" i="37"/>
  <c r="C90" i="37"/>
  <c r="F90" i="37" s="1" a="1"/>
  <c r="F90" i="37" s="1"/>
  <c r="P89" i="37"/>
  <c r="Q89" i="37" s="1"/>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D83" i="37" s="1"/>
  <c r="Q82" i="37"/>
  <c r="P82" i="37"/>
  <c r="M82" i="37"/>
  <c r="L82" i="37"/>
  <c r="I82" i="37"/>
  <c r="C82" i="37"/>
  <c r="F82" i="37" s="1" a="1"/>
  <c r="F82" i="37" s="1"/>
  <c r="P81" i="37"/>
  <c r="Q81" i="37" s="1"/>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Q77" i="37"/>
  <c r="P77" i="37"/>
  <c r="M77" i="37"/>
  <c r="L77" i="37"/>
  <c r="I77" i="37"/>
  <c r="C77" i="37"/>
  <c r="D77" i="37" s="1"/>
  <c r="P76" i="37"/>
  <c r="Q76" i="37" s="1"/>
  <c r="M76" i="37"/>
  <c r="L76" i="37"/>
  <c r="I76" i="37"/>
  <c r="C76" i="37"/>
  <c r="D76" i="37" s="1"/>
  <c r="P75" i="37"/>
  <c r="Q75" i="37" s="1"/>
  <c r="M75" i="37"/>
  <c r="L75" i="37"/>
  <c r="I75" i="37"/>
  <c r="F75" i="37" a="1"/>
  <c r="F75" i="37" s="1"/>
  <c r="C75" i="37"/>
  <c r="D75" i="37" s="1"/>
  <c r="P74" i="37"/>
  <c r="Q74" i="37" s="1"/>
  <c r="M74" i="37"/>
  <c r="L74" i="37"/>
  <c r="I74" i="37"/>
  <c r="C74" i="37"/>
  <c r="F74" i="37" s="1" a="1"/>
  <c r="F74" i="37" s="1"/>
  <c r="Q73" i="37"/>
  <c r="P73" i="37"/>
  <c r="M73" i="37"/>
  <c r="L73" i="37"/>
  <c r="I73" i="37"/>
  <c r="D73" i="37"/>
  <c r="C73" i="37"/>
  <c r="F73" i="37" s="1" a="1"/>
  <c r="F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C69" i="37"/>
  <c r="D69" i="37" s="1"/>
  <c r="P68" i="37"/>
  <c r="Q68" i="37" s="1"/>
  <c r="M68" i="37"/>
  <c r="L68" i="37"/>
  <c r="I68" i="37"/>
  <c r="C68" i="37"/>
  <c r="F68" i="37" s="1" a="1"/>
  <c r="F68" i="37" s="1"/>
  <c r="P67" i="37"/>
  <c r="Q67" i="37" s="1"/>
  <c r="M67" i="37"/>
  <c r="L67" i="37"/>
  <c r="I67" i="37"/>
  <c r="F67" i="37" a="1"/>
  <c r="F67" i="37" s="1"/>
  <c r="C67" i="37"/>
  <c r="D67" i="37" s="1"/>
  <c r="P66" i="37"/>
  <c r="Q66" i="37" s="1"/>
  <c r="M66" i="37"/>
  <c r="L66" i="37"/>
  <c r="I66" i="37"/>
  <c r="C66" i="37"/>
  <c r="F66" i="37" s="1" a="1"/>
  <c r="F66" i="37" s="1"/>
  <c r="Q65" i="37"/>
  <c r="P65" i="37"/>
  <c r="M65" i="37"/>
  <c r="L65" i="37"/>
  <c r="I65" i="37"/>
  <c r="C65" i="37"/>
  <c r="F65" i="37" s="1" a="1"/>
  <c r="F65" i="37" s="1"/>
  <c r="P64" i="37"/>
  <c r="Q64" i="37" s="1"/>
  <c r="M64" i="37"/>
  <c r="L64" i="37"/>
  <c r="I64" i="37"/>
  <c r="F64" i="37" a="1"/>
  <c r="F64" i="37" s="1"/>
  <c r="D64" i="37"/>
  <c r="C64" i="37"/>
  <c r="P63" i="37"/>
  <c r="Q63" i="37" s="1"/>
  <c r="M63" i="37"/>
  <c r="L63" i="37"/>
  <c r="I63" i="37"/>
  <c r="C63" i="37"/>
  <c r="F63" i="37" s="1" a="1"/>
  <c r="F63" i="37" s="1"/>
  <c r="P62" i="37"/>
  <c r="Q62" i="37" s="1"/>
  <c r="M62" i="37"/>
  <c r="L62" i="37"/>
  <c r="I62" i="37"/>
  <c r="D62" i="37"/>
  <c r="C62" i="37"/>
  <c r="F62" i="37" s="1" a="1"/>
  <c r="F62" i="37" s="1"/>
  <c r="P61" i="37"/>
  <c r="Q61" i="37" s="1"/>
  <c r="M61" i="37"/>
  <c r="L61" i="37"/>
  <c r="I61" i="37"/>
  <c r="C61" i="37"/>
  <c r="D61" i="37" s="1"/>
  <c r="P60" i="37"/>
  <c r="Q60" i="37" s="1"/>
  <c r="M60" i="37"/>
  <c r="L60" i="37"/>
  <c r="I60" i="37"/>
  <c r="D60" i="37"/>
  <c r="C60" i="37"/>
  <c r="F60" i="37" s="1" a="1"/>
  <c r="F60" i="37" s="1"/>
  <c r="P59" i="37"/>
  <c r="Q59" i="37" s="1"/>
  <c r="M59" i="37"/>
  <c r="L59" i="37"/>
  <c r="I59" i="37"/>
  <c r="C59" i="37"/>
  <c r="D59" i="37" s="1"/>
  <c r="Q58" i="37"/>
  <c r="P58" i="37"/>
  <c r="M58" i="37"/>
  <c r="L58" i="37"/>
  <c r="I58" i="37"/>
  <c r="C58" i="37"/>
  <c r="F58" i="37" s="1" a="1"/>
  <c r="F58" i="37" s="1"/>
  <c r="P57" i="37"/>
  <c r="Q57" i="37" s="1"/>
  <c r="M57" i="37"/>
  <c r="L57" i="37"/>
  <c r="I57" i="37"/>
  <c r="C57" i="37"/>
  <c r="F57" i="37" s="1" a="1"/>
  <c r="F57" i="37" s="1"/>
  <c r="P56" i="37"/>
  <c r="Q56" i="37" s="1"/>
  <c r="M56" i="37"/>
  <c r="L56" i="37"/>
  <c r="I56" i="37"/>
  <c r="F56" i="37" a="1"/>
  <c r="F56" i="37" s="1"/>
  <c r="C56" i="37"/>
  <c r="D56" i="37" s="1"/>
  <c r="Q55" i="37"/>
  <c r="P55" i="37"/>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F52" i="37" a="1"/>
  <c r="F52" i="37" s="1"/>
  <c r="C52" i="37"/>
  <c r="D52" i="37" s="1"/>
  <c r="P51" i="37"/>
  <c r="Q51" i="37" s="1"/>
  <c r="M51" i="37"/>
  <c r="L51" i="37"/>
  <c r="I51" i="37"/>
  <c r="F51" i="37" a="1"/>
  <c r="F51" i="37" s="1"/>
  <c r="D51" i="37"/>
  <c r="C51" i="37"/>
  <c r="P50" i="37"/>
  <c r="Q50" i="37" s="1"/>
  <c r="M50" i="37"/>
  <c r="L50" i="37"/>
  <c r="I50" i="37"/>
  <c r="C50" i="37"/>
  <c r="F50" i="37" s="1" a="1"/>
  <c r="F50" i="37" s="1"/>
  <c r="Q49" i="37"/>
  <c r="P49" i="37"/>
  <c r="M49" i="37"/>
  <c r="L49" i="37"/>
  <c r="I49" i="37"/>
  <c r="C49" i="37"/>
  <c r="F49" i="37" s="1" a="1"/>
  <c r="F49" i="37" s="1"/>
  <c r="P48" i="37"/>
  <c r="Q48" i="37" s="1"/>
  <c r="M48" i="37"/>
  <c r="L48" i="37"/>
  <c r="I48" i="37"/>
  <c r="C48" i="37"/>
  <c r="D48" i="37" s="1"/>
  <c r="P47" i="37"/>
  <c r="Q47" i="37" s="1"/>
  <c r="M47" i="37"/>
  <c r="L47" i="37"/>
  <c r="I47" i="37"/>
  <c r="C47" i="37"/>
  <c r="F47" i="37" s="1" a="1"/>
  <c r="F47" i="37" s="1"/>
  <c r="P46" i="37"/>
  <c r="Q46" i="37" s="1"/>
  <c r="M46" i="37"/>
  <c r="L46" i="37"/>
  <c r="I46" i="37"/>
  <c r="D46" i="37"/>
  <c r="C46" i="37"/>
  <c r="F46" i="37" s="1" a="1"/>
  <c r="F46" i="37" s="1"/>
  <c r="P45" i="37"/>
  <c r="Q45" i="37" s="1"/>
  <c r="M45" i="37"/>
  <c r="L45" i="37"/>
  <c r="I45" i="37"/>
  <c r="C45" i="37"/>
  <c r="D45" i="37" s="1"/>
  <c r="P44" i="37"/>
  <c r="Q44" i="37" s="1"/>
  <c r="M44" i="37"/>
  <c r="L44" i="37"/>
  <c r="I44" i="37"/>
  <c r="C44" i="37"/>
  <c r="D44" i="37" s="1"/>
  <c r="P43" i="37"/>
  <c r="Q43" i="37" s="1"/>
  <c r="M43" i="37"/>
  <c r="L43" i="37"/>
  <c r="I43" i="37"/>
  <c r="D43" i="37"/>
  <c r="C43" i="37"/>
  <c r="F43" i="37" s="1" a="1"/>
  <c r="F43" i="37" s="1"/>
  <c r="P42" i="37"/>
  <c r="Q42" i="37" s="1"/>
  <c r="M42" i="37"/>
  <c r="L42" i="37"/>
  <c r="I42" i="37"/>
  <c r="C42" i="37"/>
  <c r="F42" i="37" s="1" a="1"/>
  <c r="F42" i="37" s="1"/>
  <c r="Q41" i="37"/>
  <c r="P41" i="37"/>
  <c r="M41" i="37"/>
  <c r="L41" i="37"/>
  <c r="I41" i="37"/>
  <c r="D41" i="37"/>
  <c r="C41" i="37"/>
  <c r="F41" i="37" s="1" a="1"/>
  <c r="F41" i="37" s="1"/>
  <c r="P40" i="37"/>
  <c r="Q40" i="37" s="1"/>
  <c r="M40" i="37"/>
  <c r="L40" i="37"/>
  <c r="I40" i="37"/>
  <c r="C40" i="37"/>
  <c r="F40" i="37" s="1" a="1"/>
  <c r="F40" i="37" s="1"/>
  <c r="P39" i="37"/>
  <c r="Q39" i="37" s="1"/>
  <c r="M39" i="37"/>
  <c r="L39" i="37"/>
  <c r="I39" i="37"/>
  <c r="C39" i="37"/>
  <c r="F39" i="37" s="1" a="1"/>
  <c r="F39" i="37" s="1"/>
  <c r="P38" i="37"/>
  <c r="Q38" i="37" s="1"/>
  <c r="M38" i="37"/>
  <c r="L38" i="37"/>
  <c r="I38" i="37"/>
  <c r="D38" i="37"/>
  <c r="C38" i="37"/>
  <c r="F38" i="37" s="1" a="1"/>
  <c r="F38" i="37" s="1"/>
  <c r="P37" i="37"/>
  <c r="Q37" i="37" s="1"/>
  <c r="M37" i="37"/>
  <c r="L37" i="37"/>
  <c r="I37" i="37"/>
  <c r="C37" i="37"/>
  <c r="D37" i="37" s="1"/>
  <c r="M36" i="37"/>
  <c r="L36" i="37"/>
  <c r="M34" i="37"/>
  <c r="L34" i="37"/>
  <c r="M33" i="37"/>
  <c r="L33" i="37"/>
  <c r="P31" i="37"/>
  <c r="Q31" i="37" s="1"/>
  <c r="M31" i="37"/>
  <c r="L31" i="37"/>
  <c r="P30" i="37"/>
  <c r="Q30" i="37" s="1"/>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P19" i="37"/>
  <c r="Q19" i="37" s="1"/>
  <c r="M19" i="37"/>
  <c r="L19" i="37"/>
  <c r="P18" i="37"/>
  <c r="Q18" i="37" s="1"/>
  <c r="M18" i="37"/>
  <c r="L18" i="37"/>
  <c r="P17" i="37"/>
  <c r="Q17" i="37" s="1"/>
  <c r="M17" i="37"/>
  <c r="L17" i="37"/>
  <c r="P16" i="37"/>
  <c r="Q16" i="37" s="1"/>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44" i="37" l="1" a="1"/>
  <c r="F44" i="37" s="1"/>
  <c r="F48" i="37" a="1"/>
  <c r="F48" i="37" s="1"/>
  <c r="D92" i="37"/>
  <c r="D94" i="37"/>
  <c r="F61" i="37" a="1"/>
  <c r="F61" i="37" s="1"/>
  <c r="D84" i="37"/>
  <c r="F45" i="37" a="1"/>
  <c r="F45" i="37" s="1"/>
  <c r="D72" i="37"/>
  <c r="F99" i="37" a="1"/>
  <c r="F99" i="37" s="1"/>
  <c r="F76" i="37" a="1"/>
  <c r="F76" i="37" s="1"/>
  <c r="F53" i="37" a="1"/>
  <c r="F53" i="37" s="1"/>
  <c r="D70" i="37"/>
  <c r="F93" i="37" a="1"/>
  <c r="F93" i="37" s="1"/>
  <c r="D40" i="37"/>
  <c r="D81" i="37"/>
  <c r="F85" i="37" a="1"/>
  <c r="F85"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4" i="37"/>
  <c r="F59" i="37" a="1"/>
  <c r="F59" i="37" s="1"/>
  <c r="D65" i="37"/>
  <c r="F77" i="37" a="1"/>
  <c r="F77" i="37" s="1"/>
  <c r="D88" i="37"/>
  <c r="F100" i="37" a="1"/>
  <c r="F100"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F37" i="37" a="1"/>
  <c r="F37" i="37" s="1"/>
  <c r="D57" i="37"/>
  <c r="D68" i="37"/>
  <c r="F69" i="37" a="1"/>
  <c r="F69" i="37" s="1"/>
  <c r="D80"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9" i="37"/>
  <c r="D86" i="37"/>
  <c r="F91" i="37" a="1"/>
  <c r="F91" i="37" s="1"/>
  <c r="D97"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2"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8" i="37"/>
  <c r="F83" i="37" a="1"/>
  <c r="F83" i="37" s="1"/>
  <c r="D89" i="37"/>
  <c r="F101" i="37" a="1"/>
  <c r="F101" i="37" s="1"/>
  <c r="D17" i="38"/>
  <c r="D25" i="38"/>
  <c r="D33" i="38"/>
  <c r="D39" i="37"/>
  <c r="D47" i="37"/>
  <c r="D55" i="37"/>
  <c r="D63" i="37"/>
  <c r="D71" i="37"/>
  <c r="D79" i="37"/>
  <c r="D87" i="37"/>
  <c r="D95" i="37"/>
  <c r="D42" i="37"/>
  <c r="D50" i="37"/>
  <c r="D58" i="37"/>
  <c r="D66" i="37"/>
  <c r="D74" i="37"/>
  <c r="D82" i="37"/>
  <c r="D90" i="37"/>
  <c r="D98"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<sst xmlns="http://schemas.openxmlformats.org/spreadsheetml/2006/main" count="1448" uniqueCount="368">
  <si>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</si>
  <si>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</si>
  <si>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</si>
  <si>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</si>
  <si>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</si>
  <si>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</si>
  <si>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</si>
  <si>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</si>
  <si>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</si>
  <si>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</si>
  <si>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</si>
  <si>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</si>
  <si>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</si>
  <si>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</si>
  <si>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</si>
  <si>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</si>
  <si>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</si>
  <si>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</si>
  <si>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</si>
  <si>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</si>
  <si>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</si>
  <si>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</si>
  <si>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</si>
  <si>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</si>
  <si>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</si>
  <si>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</si>
  <si>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</si>
  <si>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</si>
  <si>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</si>
  <si>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</si>
  <si>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</si>
  <si>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</si>
  <si>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</si>
  <si>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</si>
  <si>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</si>
  <si>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</si>
  <si>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</si>
  <si>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</si>
  <si>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</si>
  <si>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</si>
  <si>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</si>
  <si>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</si>
  <si>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</si>
  <si>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</si>
  <si>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</si>
  <si>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</si>
  <si>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</si>
  <si>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</si>
  <si>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</si>
  <si>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</si>
  <si>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</si>
  <si>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</si>
  <si>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</si>
  <si>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</si>
  <si>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</si>
  <si>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</si>
  <si>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</si>
  <si>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</si>
  <si>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</si>
  <si>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</si>
  <si>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</si>
  <si>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</si>
  <si>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</si>
  <si>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</si>
  <si>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</si>
  <si>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</si>
  <si>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</si>
  <si>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</si>
  <si>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</si>
  <si>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</si>
  <si>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</si>
  <si>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</si>
  <si>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</si>
  <si>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</si>
  <si>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</si>
  <si>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</si>
  <si>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</si>
  <si>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</si>
  <si>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</si>
  <si>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</si>
  <si>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</si>
  <si>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</si>
  <si>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</si>
  <si>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</si>
  <si>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</si>
  <si>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</si>
  <si>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</si>
  <si>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</si>
  <si>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</si>
  <si>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</si>
  <si>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</si>
  <si>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</si>
  <si>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</si>
  <si>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</si>
  <si>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</si>
  <si>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</si>
  <si>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</si>
  <si>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</si>
  <si>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</si>
  <si>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</si>
  <si>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</si>
  <si>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</si>
  <si>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</si>
  <si>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</si>
  <si>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</si>
  <si>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</si>
  <si>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</si>
  <si>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</si>
  <si>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</si>
  <si>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</si>
  <si>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</si>
  <si>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</si>
  <si>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</si>
  <si>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</si>
  <si>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</si>
  <si>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</si>
  <si>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</si>
  <si>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</si>
  <si>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</si>
  <si>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</si>
  <si>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</si>
  <si>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</si>
  <si>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</si>
  <si>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</si>
  <si>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</si>
  <si>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</si>
  <si>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</si>
  <si>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</si>
  <si>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</si>
  <si>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</si>
  <si>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</si>
  <si>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</si>
  <si>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</si>
  <si>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</si>
  <si>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</si>
  <si>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</si>
  <si>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</si>
  <si>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</si>
  <si>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</si>
  <si>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</si>
  <si>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</si>
  <si>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</si>
  <si>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</si>
  <si>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</si>
  <si>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</si>
  <si>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</si>
  <si>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</si>
  <si>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</si>
  <si>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</si>
  <si>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</si>
  <si>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</si>
  <si>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</si>
  <si>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</si>
  <si>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</si>
  <si>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</si>
  <si>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</si>
  <si>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</si>
  <si>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</si>
  <si>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</si>
  <si>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</si>
  <si>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</si>
  <si>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</si>
  <si>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</si>
  <si>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</si>
  <si>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</si>
  <si>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</si>
  <si>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</si>
  <si>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</si>
  <si>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</si>
  <si>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</si>
  <si>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</si>
  <si>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</si>
  <si>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</si>
  <si>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</si>
  <si>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</si>
  <si>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</si>
  <si>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</si>
  <si>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</si>
  <si>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</si>
  <si>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</si>
  <si>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</si>
  <si>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</si>
  <si>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</si>
  <si>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</si>
  <si>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</si>
  <si>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</si>
  <si>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</si>
  <si>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</si>
  <si>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</si>
  <si>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</si>
  <si>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</si>
  <si>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</si>
  <si>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</si>
  <si>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</si>
  <si>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</si>
  <si>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</si>
  <si>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</si>
  <si>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</si>
  <si>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</si>
  <si>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</si>
  <si>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</si>
  <si>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</si>
  <si>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</si>
  <si>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</si>
  <si>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</si>
  <si>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</si>
  <si>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</si>
  <si>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</si>
  <si>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</si>
  <si>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</si>
  <si>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</si>
  <si>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</si>
  <si>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</si>
  <si>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</si>
  <si>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</si>
  <si>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</si>
  <si>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</si>
  <si>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</si>
  <si>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</si>
  <si>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</si>
  <si>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</si>
  <si>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</si>
  <si>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</si>
  <si>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</si>
  <si>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</si>
  <si>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</si>
  <si>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</si>
  <si>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</si>
  <si>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</si>
  <si>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</si>
  <si>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</si>
  <si>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</si>
  <si>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</si>
  <si>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</si>
  <si>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</si>
  <si>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</si>
  <si>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</si>
  <si>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</si>
  <si>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</si>
  <si>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</si>
  <si>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</si>
  <si>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</si>
  <si>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</si>
  <si>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</si>
  <si>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</si>
  <si>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</si>
  <si>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</si>
  <si>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</si>
  <si>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</si>
  <si>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</si>
  <si>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</si>
  <si>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</si>
  <si>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</si>
  <si>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</si>
  <si>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</si>
  <si>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</si>
  <si>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</si>
  <si>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</si>
  <si>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</si>
  <si>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</si>
  <si>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</si>
  <si>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</si>
  <si>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</si>
  <si>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</si>
  <si>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</si>
  <si>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</si>
  <si>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</si>
  <si>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</si>
  <si>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</si>
  <si>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</si>
  <si>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</si>
  <si>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</si>
  <si>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</si>
  <si>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</si>
  <si>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</si>
  <si>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</si>
  <si>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</si>
  <si>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</si>
  <si>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</si>
  <si>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</si>
  <si>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</si>
  <si>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</si>
  <si>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</si>
  <si>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</si>
  <si>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</si>
  <si>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</si>
  <si>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</si>
  <si>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</si>
  <si>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</si>
  <si>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</si>
  <si>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</si>
  <si>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</si>
  <si>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</si>
  <si>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</si>
  <si>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</si>
  <si>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</si>
  <si>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</si>
  <si>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</si>
  <si>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</si>
  <si>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</si>
  <si>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</si>
  <si>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</si>
  <si>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</si>
  <si>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</si>
  <si>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</si>
  <si>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</si>
  <si>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</si>
  <si>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</si>
  <si>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</si>
  <si>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</si>
  <si>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</si>
  <si>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</si>
  <si>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</si>
  <si>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</si>
  <si>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</si>
  <si>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</si>
  <si>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</si>
  <si>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</si>
  <si>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</si>
  <si>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</si>
  <si>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</si>
  <si>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</si>
  <si>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</si>
  <si>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</si>
  <si>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</si>
  <si>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</si>
  <si>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</si>
  <si>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</si>
  <si>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</si>
  <si>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</si>
  <si>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</si>
  <si>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</si>
  <si>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</si>
  <si>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</si>
  <si>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</si>
  <si>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</si>
  <si>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</si>
  <si>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</si>
  <si>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</si>
  <si>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</si>
  <si>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</si>
  <si>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</si>
  <si>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</si>
  <si>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</si>
  <si>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</si>
  <si>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</si>
  <si>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</si>
  <si>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</si>
  <si>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</si>
  <si>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</si>
  <si>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</si>
  <si>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</si>
  <si>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</si>
  <si>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</si>
  <si>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</si>
  <si>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</si>
  <si>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</si>
  <si>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</si>
  <si>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</si>
  <si>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</si>
  <si>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</si>
  <si>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</si>
  <si>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</si>
  <si>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$/mmBTU</t>
  </si>
  <si>
    <t>$/kg</t>
  </si>
  <si>
    <t>Fuel production</t>
  </si>
  <si>
    <t>CO2 from combustion of Toluene.</t>
  </si>
  <si>
    <t>Biogenic CO2 sequestration by BKA.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</si>
</sst>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_(* #,##0_);_(* \(#,##0\);_(* &quot;-&quot;??_);_(@_)"/>
    <numFmt numFmtId="166" formatCode="#,##0.0"/>
    <numFmt numFmtId="167" formatCode="0.0%"/>
    <numFmt numFmtId="168" formatCode="_(* #,##0.0000_);_(* \(#,##0.0000\);_(* &quot;-&quot;??_);_(@_)"/>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1">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9" fontId="0" fillId="0" borderId="2" xfId="1" applyNumberFormat="1" applyFont="1" applyBorder="1"/>
    <xf numFmtId="167" fontId="0" fillId="0" borderId="0" xfId="0" applyNumberFormat="1"/>
    <xf numFmtId="0" fontId="0" fillId="0" borderId="2" xfId="0" applyFont="1" applyBorder="1"/>
    <xf numFmtId="0" fontId="0" fillId="0" borderId="2" xfId="0" applyNumberFormat="1" applyFont="1" applyBorder="1"/>
    <xf numFmtId="9" fontId="0" fillId="0" borderId="2"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2" totalsRowShown="0" headerRowDxfId="45" dataDxfId="44" tableBorderDxfId="43" dataCellStyle="Percent">
  <autoFilter ref="A5:T102"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83" t="s">
        <v>261</v>
      </c>
      <c r="B2" s="83"/>
    </row>
    <row r="3" spans="1:3" ht="29.1" customHeight="1" x14ac:dyDescent="0.25">
      <c r="A3" s="85" t="s">
        <v>274</v>
      </c>
      <c r="B3" s="85"/>
    </row>
    <row r="4" spans="1:3" ht="27.95" customHeight="1" x14ac:dyDescent="0.25">
      <c r="A4" s="19"/>
      <c r="B4" s="19"/>
    </row>
    <row r="5" spans="1:3" ht="27.95" customHeight="1" x14ac:dyDescent="0.25">
      <c r="A5" s="84" t="s">
        <v>260</v>
      </c>
      <c r="B5" s="84"/>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s="50" t="s">
        <v>312</v>
      </c>
      <c r="B17" s="50">
        <f>W6</f>
        <v>0</v>
      </c>
    </row>
    <row r="18" spans="1:2" x14ac:dyDescent="0.25">
      <c r="A18" s="50" t="s">
        <v>313</v>
      </c>
      <c r="B18" s="50">
        <f>W6</f>
        <v>0</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71</v>
      </c>
      <c r="J4" t="s">
        <v>220</v>
      </c>
      <c r="R4" t="s">
        <v>3</v>
      </c>
      <c r="S4" t="s">
        <v>323</v>
      </c>
    </row>
    <row r="5" spans="1:19" x14ac:dyDescent="0.25">
      <c r="C5" s="1" t="s">
        <v>309</v>
      </c>
      <c r="D5" s="1"/>
      <c r="E5" s="1" t="s">
        <v>36</v>
      </c>
      <c r="G5" t="s">
        <v>286</v>
      </c>
      <c r="H5" t="s">
        <v>276</v>
      </c>
      <c r="J5" t="s">
        <v>221</v>
      </c>
      <c r="R5" t="s">
        <v>37</v>
      </c>
      <c r="S5" t="s">
        <v>327</v>
      </c>
    </row>
    <row r="6" spans="1:19" x14ac:dyDescent="0.25">
      <c r="C6" t="s">
        <v>71</v>
      </c>
      <c r="E6" s="1" t="s">
        <v>13</v>
      </c>
      <c r="H6" t="s">
        <v>277</v>
      </c>
      <c r="J6" t="s">
        <v>222</v>
      </c>
      <c r="R6" t="s">
        <v>29</v>
      </c>
      <c r="S6" t="s">
        <v>324</v>
      </c>
    </row>
    <row r="7" spans="1:19" x14ac:dyDescent="0.25">
      <c r="C7" t="s">
        <v>276</v>
      </c>
      <c r="E7" s="1" t="s">
        <v>235</v>
      </c>
      <c r="H7" t="s">
        <v>312</v>
      </c>
      <c r="J7" t="s">
        <v>223</v>
      </c>
      <c r="R7" t="s">
        <v>282</v>
      </c>
      <c r="S7" t="s">
        <v>328</v>
      </c>
    </row>
    <row r="8" spans="1:19" x14ac:dyDescent="0.25">
      <c r="C8" t="s">
        <v>277</v>
      </c>
      <c r="E8" s="1" t="s">
        <v>25</v>
      </c>
      <c r="H8" t="s">
        <v>313</v>
      </c>
      <c r="J8" t="s">
        <v>224</v>
      </c>
      <c r="R8" t="s">
        <v>33</v>
      </c>
      <c r="S8" t="s">
        <v>333</v>
      </c>
    </row>
    <row r="9" spans="1:19" x14ac:dyDescent="0.25">
      <c r="C9" t="s">
        <v>312</v>
      </c>
      <c r="E9" s="1" t="s">
        <v>279</v>
      </c>
      <c r="H9" t="s">
        <v>243</v>
      </c>
      <c r="J9" t="s">
        <v>225</v>
      </c>
      <c r="R9" t="s">
        <v>217</v>
      </c>
      <c r="S9" t="s">
        <v>325</v>
      </c>
    </row>
    <row r="10" spans="1:19" x14ac:dyDescent="0.25">
      <c r="C10" t="s">
        <v>313</v>
      </c>
      <c r="E10" s="1" t="s">
        <v>15</v>
      </c>
      <c r="H10" t="s">
        <v>288</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2"/>
  <sheetViews>
    <sheetView tabSelected="1" workbookViewId="0">
      <pane ySplit="5" topLeftCell="A11" activePane="bottomLeft" state="frozen"/>
      <selection activeCell="C19" sqref="C19"/>
      <selection pane="bottomLeft" activeCell="D34" sqref="D3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c r="E6" s="76">
        <v>104166.667</v>
      </c>
      <c r="F6" s="6" t="s">
        <v>58</v>
      </c>
      <c r="G6" s="25">
        <v>0.2</v>
      </c>
      <c r="H6" s="25" t="s">
        <v>361</v>
      </c>
      <c r="I6" s="26" t="s">
        <v>337</v>
      </c>
      <c r="J6" s="25"/>
      <c r="K6" s="6" t="s">
        <v>86</v>
      </c>
      <c r="L6" s="6" t="str">
        <f>IF(Table118[[#This Row],[Category]]="Transportation", _xlfn.XLOOKUP(Table118[[#This Row],[Resource]], 'SI - Payload'!$A$10:$A$40,'SI - Payload'!$B$10:$B$40,"",0),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25">
      <c r="A7" s="6" t="s">
        <v>0</v>
      </c>
      <c r="B7" s="6" t="s">
        <v>37</v>
      </c>
      <c r="C7" s="6" t="s">
        <v>106</v>
      </c>
      <c r="D7" s="6"/>
      <c r="E7" s="12">
        <v>11374.7161</v>
      </c>
      <c r="F7" s="6" t="s">
        <v>58</v>
      </c>
      <c r="G7" s="25">
        <v>7.0000000000000007E-2</v>
      </c>
      <c r="H7" s="25"/>
      <c r="I7" s="26" t="s">
        <v>337</v>
      </c>
      <c r="J7" s="25"/>
      <c r="K7" s="6" t="s">
        <v>85</v>
      </c>
      <c r="L7" s="6" t="str">
        <f>IF(Table118[[#This Row],[Category]]="Transportation", _xlfn.XLOOKUP(Table118[[#This Row],[Resource]], 'SI - Payload'!$A$10:$A$40,'SI - Payload'!$B$10:$B$40,"",0),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25">
      <c r="A8" s="6" t="s">
        <v>0</v>
      </c>
      <c r="B8" s="6" t="s">
        <v>37</v>
      </c>
      <c r="C8" s="6" t="s">
        <v>13</v>
      </c>
      <c r="D8" s="6"/>
      <c r="E8" s="76">
        <v>2279.9626440000002</v>
      </c>
      <c r="F8" s="6" t="s">
        <v>58</v>
      </c>
      <c r="G8" s="25"/>
      <c r="H8" s="25"/>
      <c r="I8" s="26" t="s">
        <v>337</v>
      </c>
      <c r="J8" s="25"/>
      <c r="K8" s="6" t="s">
        <v>85</v>
      </c>
      <c r="L8" s="6" t="str">
        <f>IF(Table118[[#This Row],[Category]]="Transportation", _xlfn.XLOOKUP(Table118[[#This Row],[Resource]], 'SI - Payload'!$A$10:$A$40,'SI - Payload'!$B$10:$B$40,"",0),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25">
      <c r="A9" s="6" t="s">
        <v>0</v>
      </c>
      <c r="B9" s="6" t="s">
        <v>37</v>
      </c>
      <c r="C9" s="6" t="s">
        <v>13</v>
      </c>
      <c r="D9" s="6" t="s">
        <v>337</v>
      </c>
      <c r="E9" s="12">
        <v>2000</v>
      </c>
      <c r="F9" s="6" t="s">
        <v>58</v>
      </c>
      <c r="G9" s="25"/>
      <c r="H9" s="25"/>
      <c r="I9" s="26" t="s">
        <v>337</v>
      </c>
      <c r="J9" s="25"/>
      <c r="K9" s="6" t="s">
        <v>86</v>
      </c>
      <c r="L9" s="6" t="str">
        <f>IF(Table118[[#This Row],[Category]]="Transportation", _xlfn.XLOOKUP(Table118[[#This Row],[Resource]], 'SI - Payload'!$A$10:$A$40,'SI - Payload'!$B$10:$B$40,"",0),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25">
      <c r="A10" s="6" t="s">
        <v>0</v>
      </c>
      <c r="B10" s="6" t="s">
        <v>37</v>
      </c>
      <c r="C10" s="6" t="s">
        <v>26</v>
      </c>
      <c r="D10" s="6" t="s">
        <v>362</v>
      </c>
      <c r="E10" s="76">
        <v>6666.6666699999996</v>
      </c>
      <c r="F10" s="6" t="s">
        <v>58</v>
      </c>
      <c r="G10" s="25"/>
      <c r="H10" s="25"/>
      <c r="I10" s="26" t="s">
        <v>337</v>
      </c>
      <c r="J10" s="25"/>
      <c r="K10" s="6" t="s">
        <v>86</v>
      </c>
      <c r="L10" s="6" t="str">
        <f>IF(Table118[[#This Row],[Category]]="Transportation", _xlfn.XLOOKUP(Table118[[#This Row],[Resource]], 'SI - Payload'!$A$10:$A$40,'SI - Payload'!$B$10:$B$40,"",0),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25">
      <c r="A11" s="6" t="s">
        <v>0</v>
      </c>
      <c r="B11" s="6" t="s">
        <v>37</v>
      </c>
      <c r="C11" s="6" t="s">
        <v>14</v>
      </c>
      <c r="D11" s="6" t="s">
        <v>337</v>
      </c>
      <c r="E11" s="12">
        <v>62</v>
      </c>
      <c r="F11" s="6" t="s">
        <v>58</v>
      </c>
      <c r="G11" s="25"/>
      <c r="H11" s="25"/>
      <c r="I11" s="26" t="s">
        <v>337</v>
      </c>
      <c r="J11" s="25"/>
      <c r="K11" s="6" t="s">
        <v>113</v>
      </c>
      <c r="L11" s="6" t="str">
        <f>IF(Table118[[#This Row],[Category]]="Transportation", _xlfn.XLOOKUP(Table118[[#This Row],[Resource]], 'SI - Payload'!$A$10:$A$40,'SI - Payload'!$B$10:$B$40,"",0),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25">
      <c r="A12" s="6" t="s">
        <v>0</v>
      </c>
      <c r="B12" s="6" t="s">
        <v>37</v>
      </c>
      <c r="C12" s="6" t="s">
        <v>14</v>
      </c>
      <c r="D12" s="6" t="s">
        <v>337</v>
      </c>
      <c r="E12" s="76">
        <v>17</v>
      </c>
      <c r="F12" s="6" t="s">
        <v>58</v>
      </c>
      <c r="G12" s="25"/>
      <c r="H12" s="25"/>
      <c r="I12" s="26" t="s">
        <v>337</v>
      </c>
      <c r="J12" s="25"/>
      <c r="K12" s="6" t="s">
        <v>85</v>
      </c>
      <c r="L12" s="6" t="str">
        <f>IF(Table118[[#This Row],[Category]]="Transportation", _xlfn.XLOOKUP(Table118[[#This Row],[Resource]], 'SI - Payload'!$A$10:$A$40,'SI - Payload'!$B$10:$B$40,"",0),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25">
      <c r="A13" s="6" t="s">
        <v>0</v>
      </c>
      <c r="B13" s="6" t="s">
        <v>37</v>
      </c>
      <c r="C13" s="6" t="s">
        <v>14</v>
      </c>
      <c r="D13" s="6" t="s">
        <v>337</v>
      </c>
      <c r="E13" s="12">
        <v>2240.1724822183105</v>
      </c>
      <c r="F13" s="6" t="s">
        <v>58</v>
      </c>
      <c r="G13" s="25"/>
      <c r="H13" s="25"/>
      <c r="I13" s="26" t="s">
        <v>337</v>
      </c>
      <c r="J13" s="25"/>
      <c r="K13" s="6" t="s">
        <v>86</v>
      </c>
      <c r="L13" s="6" t="str">
        <f>IF(Table118[[#This Row],[Category]]="Transportation", _xlfn.XLOOKUP(Table118[[#This Row],[Resource]], 'SI - Payload'!$A$10:$A$40,'SI - Payload'!$B$10:$B$40,"",0),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25">
      <c r="A14" s="6" t="s">
        <v>0</v>
      </c>
      <c r="B14" s="6" t="s">
        <v>37</v>
      </c>
      <c r="C14" s="6" t="s">
        <v>19</v>
      </c>
      <c r="D14" s="6" t="s">
        <v>337</v>
      </c>
      <c r="E14" s="76">
        <v>1311.6449</v>
      </c>
      <c r="F14" s="6" t="s">
        <v>58</v>
      </c>
      <c r="G14" s="25"/>
      <c r="H14" s="25"/>
      <c r="I14" s="26" t="s">
        <v>337</v>
      </c>
      <c r="J14" s="25"/>
      <c r="K14" s="6" t="s">
        <v>113</v>
      </c>
      <c r="L14" s="6" t="str">
        <f>IF(Table118[[#This Row],[Category]]="Transportation", _xlfn.XLOOKUP(Table118[[#This Row],[Resource]], 'SI - Payload'!$A$10:$A$40,'SI - Payload'!$B$10:$B$40,"",0),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25">
      <c r="A15" s="6" t="s">
        <v>0</v>
      </c>
      <c r="B15" s="6" t="s">
        <v>37</v>
      </c>
      <c r="C15" s="6" t="s">
        <v>15</v>
      </c>
      <c r="D15" s="6" t="s">
        <v>337</v>
      </c>
      <c r="E15" s="12">
        <v>1225.9310363</v>
      </c>
      <c r="F15" s="6" t="s">
        <v>58</v>
      </c>
      <c r="G15" s="25"/>
      <c r="H15" s="25"/>
      <c r="I15" s="26" t="s">
        <v>337</v>
      </c>
      <c r="J15" s="25"/>
      <c r="K15" s="6" t="s">
        <v>113</v>
      </c>
      <c r="L15" s="6" t="str">
        <f>IF(Table118[[#This Row],[Category]]="Transportation", _xlfn.XLOOKUP(Table118[[#This Row],[Resource]], 'SI - Payload'!$A$10:$A$40,'SI - Payload'!$B$10:$B$40,"",0),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25">
      <c r="A16" s="6" t="s">
        <v>0</v>
      </c>
      <c r="B16" s="6" t="s">
        <v>37</v>
      </c>
      <c r="C16" s="6" t="s">
        <v>17</v>
      </c>
      <c r="D16" s="6" t="s">
        <v>337</v>
      </c>
      <c r="E16" s="76">
        <v>7.2460908700000006</v>
      </c>
      <c r="F16" s="6" t="s">
        <v>58</v>
      </c>
      <c r="G16" s="25"/>
      <c r="H16" s="25"/>
      <c r="I16" s="26" t="s">
        <v>337</v>
      </c>
      <c r="J16" s="25"/>
      <c r="K16" s="6" t="s">
        <v>113</v>
      </c>
      <c r="L16" s="6" t="str">
        <f>IF(Table118[[#This Row],[Category]]="Transportation", _xlfn.XLOOKUP(Table118[[#This Row],[Resource]], 'SI - Payload'!$A$10:$A$40,'SI - Payload'!$B$10:$B$40,"",0),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25">
      <c r="A17" s="6" t="s">
        <v>0</v>
      </c>
      <c r="B17" s="6" t="s">
        <v>37</v>
      </c>
      <c r="C17" s="6" t="s">
        <v>20</v>
      </c>
      <c r="D17" s="6" t="s">
        <v>337</v>
      </c>
      <c r="E17" s="12">
        <v>36.535699700000002</v>
      </c>
      <c r="F17" s="6" t="s">
        <v>58</v>
      </c>
      <c r="G17" s="25"/>
      <c r="H17" s="25"/>
      <c r="I17" s="26" t="s">
        <v>337</v>
      </c>
      <c r="J17" s="25"/>
      <c r="K17" s="6" t="s">
        <v>113</v>
      </c>
      <c r="L17" s="6" t="str">
        <f>IF(Table118[[#This Row],[Category]]="Transportation", _xlfn.XLOOKUP(Table118[[#This Row],[Resource]], 'SI - Payload'!$A$10:$A$40,'SI - Payload'!$B$10:$B$40,"",0),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25">
      <c r="A18" s="6" t="s">
        <v>0</v>
      </c>
      <c r="B18" s="6" t="s">
        <v>37</v>
      </c>
      <c r="C18" s="6" t="s">
        <v>21</v>
      </c>
      <c r="D18" s="6" t="s">
        <v>337</v>
      </c>
      <c r="E18" s="76">
        <v>8.9047192000000006</v>
      </c>
      <c r="F18" s="6" t="s">
        <v>58</v>
      </c>
      <c r="G18" s="25"/>
      <c r="H18" s="25"/>
      <c r="I18" s="26" t="s">
        <v>337</v>
      </c>
      <c r="J18" s="25"/>
      <c r="K18" s="6" t="s">
        <v>113</v>
      </c>
      <c r="L18" s="6" t="str">
        <f>IF(Table118[[#This Row],[Category]]="Transportation", _xlfn.XLOOKUP(Table118[[#This Row],[Resource]], 'SI - Payload'!$A$10:$A$40,'SI - Payload'!$B$10:$B$40,"",0),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25">
      <c r="A19" s="6" t="s">
        <v>0</v>
      </c>
      <c r="B19" s="6" t="s">
        <v>37</v>
      </c>
      <c r="C19" s="6" t="s">
        <v>16</v>
      </c>
      <c r="D19" s="6" t="s">
        <v>337</v>
      </c>
      <c r="E19" s="12">
        <v>168.61225699710999</v>
      </c>
      <c r="F19" s="6" t="s">
        <v>58</v>
      </c>
      <c r="G19" s="25"/>
      <c r="H19" s="25"/>
      <c r="I19" s="26" t="s">
        <v>337</v>
      </c>
      <c r="J19" s="25"/>
      <c r="K19" s="6" t="s">
        <v>113</v>
      </c>
      <c r="L19" s="6" t="str">
        <f>IF(Table118[[#This Row],[Category]]="Transportation", _xlfn.XLOOKUP(Table118[[#This Row],[Resource]], 'SI - Payload'!$A$10:$A$40,'SI - Payload'!$B$10:$B$40,"",0),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25">
      <c r="A20" s="6" t="s">
        <v>0</v>
      </c>
      <c r="B20" s="6" t="s">
        <v>37</v>
      </c>
      <c r="C20" s="6" t="s">
        <v>18</v>
      </c>
      <c r="D20" s="6" t="s">
        <v>337</v>
      </c>
      <c r="E20" s="76">
        <v>407.44879600000002</v>
      </c>
      <c r="F20" s="6" t="s">
        <v>58</v>
      </c>
      <c r="G20" s="25"/>
      <c r="H20" s="25"/>
      <c r="I20" s="26" t="s">
        <v>337</v>
      </c>
      <c r="J20" s="25"/>
      <c r="K20" s="6" t="s">
        <v>113</v>
      </c>
      <c r="L20" s="6" t="str">
        <f>IF(Table118[[#This Row],[Category]]="Transportation", _xlfn.XLOOKUP(Table118[[#This Row],[Resource]], 'SI - Payload'!$A$10:$A$40,'SI - Payload'!$B$10:$B$40,"",0),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25">
      <c r="A21" s="6" t="s">
        <v>0</v>
      </c>
      <c r="B21" s="6" t="s">
        <v>244</v>
      </c>
      <c r="C21" s="6" t="s">
        <v>22</v>
      </c>
      <c r="D21" s="6" t="s">
        <v>337</v>
      </c>
      <c r="E21" s="12">
        <v>0</v>
      </c>
      <c r="F21" s="6" t="s">
        <v>58</v>
      </c>
      <c r="G21" s="25"/>
      <c r="H21" s="25"/>
      <c r="I21" s="26" t="s">
        <v>337</v>
      </c>
      <c r="J21" s="25"/>
      <c r="K21" s="6" t="s">
        <v>113</v>
      </c>
      <c r="L21" s="6" t="str">
        <f>IF(Table118[[#This Row],[Category]]="Transportation", _xlfn.XLOOKUP(Table118[[#This Row],[Resource]], 'SI - Payload'!$A$10:$A$40,'SI - Payload'!$B$10:$B$40,"",0),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25">
      <c r="A22" s="6" t="s">
        <v>0</v>
      </c>
      <c r="B22" s="6" t="s">
        <v>37</v>
      </c>
      <c r="C22" s="6" t="s">
        <v>36</v>
      </c>
      <c r="D22" s="6" t="s">
        <v>337</v>
      </c>
      <c r="E22" s="76">
        <v>0.30701758699999998</v>
      </c>
      <c r="F22" s="6" t="s">
        <v>58</v>
      </c>
      <c r="G22" s="25"/>
      <c r="H22" s="25"/>
      <c r="I22" s="26" t="s">
        <v>337</v>
      </c>
      <c r="J22" s="25"/>
      <c r="K22" s="6" t="s">
        <v>86</v>
      </c>
      <c r="L22" s="6" t="str">
        <f>IF(Table118[[#This Row],[Category]]="Transportation", _xlfn.XLOOKUP(Table118[[#This Row],[Resource]], 'SI - Payload'!$A$10:$A$40,'SI - Payload'!$B$10:$B$40,"",0),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25">
      <c r="A23" s="6" t="s">
        <v>0</v>
      </c>
      <c r="B23" s="6" t="s">
        <v>37</v>
      </c>
      <c r="C23" s="6" t="s">
        <v>23</v>
      </c>
      <c r="D23" s="6" t="s">
        <v>337</v>
      </c>
      <c r="E23" s="12">
        <v>197.30273199999999</v>
      </c>
      <c r="F23" s="6" t="s">
        <v>58</v>
      </c>
      <c r="G23" s="25"/>
      <c r="H23" s="25"/>
      <c r="I23" s="26" t="s">
        <v>337</v>
      </c>
      <c r="J23" s="25"/>
      <c r="K23" s="6" t="s">
        <v>86</v>
      </c>
      <c r="L23" s="6" t="str">
        <f>IF(Table118[[#This Row],[Category]]="Transportation", _xlfn.XLOOKUP(Table118[[#This Row],[Resource]], 'SI - Payload'!$A$10:$A$40,'SI - Payload'!$B$10:$B$40,"",0),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25">
      <c r="A24" s="6" t="s">
        <v>0</v>
      </c>
      <c r="B24" s="6" t="s">
        <v>37</v>
      </c>
      <c r="C24" s="6" t="s">
        <v>25</v>
      </c>
      <c r="D24" s="6" t="s">
        <v>337</v>
      </c>
      <c r="E24" s="76">
        <v>1.27822462</v>
      </c>
      <c r="F24" s="6" t="s">
        <v>58</v>
      </c>
      <c r="G24" s="25"/>
      <c r="H24" s="25"/>
      <c r="I24" s="26" t="s">
        <v>337</v>
      </c>
      <c r="J24" s="25"/>
      <c r="K24" s="6" t="s">
        <v>86</v>
      </c>
      <c r="L24" s="6" t="str">
        <f>IF(Table118[[#This Row],[Category]]="Transportation", _xlfn.XLOOKUP(Table118[[#This Row],[Resource]], 'SI - Payload'!$A$10:$A$40,'SI - Payload'!$B$10:$B$40,"",0),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25">
      <c r="A25" s="6" t="s">
        <v>0</v>
      </c>
      <c r="B25" s="6" t="s">
        <v>29</v>
      </c>
      <c r="C25" s="6" t="s">
        <v>29</v>
      </c>
      <c r="D25" s="6" t="s">
        <v>337</v>
      </c>
      <c r="E25" s="12">
        <v>262876.36200000002</v>
      </c>
      <c r="F25" s="6" t="s">
        <v>58</v>
      </c>
      <c r="G25" s="25"/>
      <c r="H25" s="25"/>
      <c r="I25" s="26" t="s">
        <v>337</v>
      </c>
      <c r="J25" s="25"/>
      <c r="K25" s="6" t="s">
        <v>86</v>
      </c>
      <c r="L25" s="6" t="str">
        <f>IF(Table118[[#This Row],[Category]]="Transportation", _xlfn.XLOOKUP(Table118[[#This Row],[Resource]], 'SI - Payload'!$A$10:$A$40,'SI - Payload'!$B$10:$B$40,"",0),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25">
      <c r="A26" s="6" t="s">
        <v>0</v>
      </c>
      <c r="B26" s="6" t="s">
        <v>244</v>
      </c>
      <c r="C26" s="6" t="s">
        <v>24</v>
      </c>
      <c r="D26" s="6" t="s">
        <v>31</v>
      </c>
      <c r="E26" s="76">
        <v>100</v>
      </c>
      <c r="F26" s="6" t="s">
        <v>58</v>
      </c>
      <c r="G26" s="25"/>
      <c r="H26" s="25"/>
      <c r="I26" s="26" t="s">
        <v>337</v>
      </c>
      <c r="J26" s="25"/>
      <c r="K26" s="6" t="s">
        <v>86</v>
      </c>
      <c r="L26" s="6" t="str">
        <f>IF(Table118[[#This Row],[Category]]="Transportation", _xlfn.XLOOKUP(Table118[[#This Row],[Resource]], 'SI - Payload'!$A$10:$A$40,'SI - Payload'!$B$10:$B$40,"",0),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25">
      <c r="A27" s="6" t="s">
        <v>0</v>
      </c>
      <c r="B27" s="6" t="s">
        <v>3</v>
      </c>
      <c r="C27" s="6" t="s">
        <v>3</v>
      </c>
      <c r="D27" s="6" t="s">
        <v>10</v>
      </c>
      <c r="E27" s="12">
        <v>22194</v>
      </c>
      <c r="F27" s="6" t="s">
        <v>68</v>
      </c>
      <c r="G27" s="25"/>
      <c r="H27" s="25"/>
      <c r="I27" s="26" t="s">
        <v>337</v>
      </c>
      <c r="J27" s="25"/>
      <c r="K27" s="6" t="s">
        <v>113</v>
      </c>
      <c r="L27" s="6" t="str">
        <f>IF(Table118[[#This Row],[Category]]="Transportation", _xlfn.XLOOKUP(Table118[[#This Row],[Resource]], 'SI - Payload'!$A$10:$A$40,'SI - Payload'!$B$10:$B$40,"",0),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25">
      <c r="A28" s="6" t="s">
        <v>0</v>
      </c>
      <c r="B28" s="6" t="s">
        <v>3</v>
      </c>
      <c r="C28" s="6" t="s">
        <v>3</v>
      </c>
      <c r="D28" s="6" t="s">
        <v>10</v>
      </c>
      <c r="E28" s="12">
        <v>3311</v>
      </c>
      <c r="F28" s="6" t="s">
        <v>68</v>
      </c>
      <c r="G28" s="25"/>
      <c r="H28" s="25"/>
      <c r="I28" s="26" t="s">
        <v>337</v>
      </c>
      <c r="J28" s="25"/>
      <c r="K28" s="6" t="s">
        <v>85</v>
      </c>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25">
      <c r="A29" s="6" t="s">
        <v>0</v>
      </c>
      <c r="B29" s="6" t="s">
        <v>3</v>
      </c>
      <c r="C29" s="6" t="s">
        <v>3</v>
      </c>
      <c r="D29" s="6" t="s">
        <v>10</v>
      </c>
      <c r="E29" s="12">
        <v>31364.087596999998</v>
      </c>
      <c r="F29" s="6" t="s">
        <v>68</v>
      </c>
      <c r="G29" s="25"/>
      <c r="H29" s="25"/>
      <c r="I29" s="26" t="s">
        <v>337</v>
      </c>
      <c r="J29" s="25"/>
      <c r="K29" s="6" t="s">
        <v>86</v>
      </c>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25">
      <c r="A30" s="6" t="s">
        <v>0</v>
      </c>
      <c r="B30" s="6" t="s">
        <v>244</v>
      </c>
      <c r="C30" s="6" t="s">
        <v>24</v>
      </c>
      <c r="D30" s="6" t="s">
        <v>31</v>
      </c>
      <c r="E30" s="77">
        <v>38.926145448658801</v>
      </c>
      <c r="F30" s="6" t="s">
        <v>70</v>
      </c>
      <c r="G30" s="25"/>
      <c r="H30" s="25"/>
      <c r="I30" s="26" t="s">
        <v>337</v>
      </c>
      <c r="J30" s="25"/>
      <c r="K30" s="6" t="s">
        <v>113</v>
      </c>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25">
      <c r="A31" s="6" t="s">
        <v>0</v>
      </c>
      <c r="B31" s="6" t="s">
        <v>37</v>
      </c>
      <c r="C31" s="6" t="s">
        <v>50</v>
      </c>
      <c r="D31" s="6"/>
      <c r="E31" s="12">
        <v>90</v>
      </c>
      <c r="F31" s="6" t="s">
        <v>58</v>
      </c>
      <c r="G31" s="25"/>
      <c r="H31" s="25"/>
      <c r="I31" s="26" t="s">
        <v>337</v>
      </c>
      <c r="J31" s="25"/>
      <c r="K31" s="6" t="s">
        <v>113</v>
      </c>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25">
      <c r="A32" s="80" t="s">
        <v>0</v>
      </c>
      <c r="B32" s="80" t="s">
        <v>245</v>
      </c>
      <c r="C32" s="80" t="s">
        <v>228</v>
      </c>
      <c r="D32" s="81"/>
      <c r="E32" s="12">
        <f>12*7/(12*7+8*1)*44/12*E31</f>
        <v>301.30434782608694</v>
      </c>
      <c r="F32" s="81" t="str">
        <f>F31</f>
        <v>kg</v>
      </c>
      <c r="G32" s="82"/>
      <c r="H32" s="82"/>
      <c r="I32" s="26"/>
      <c r="J32" s="25"/>
      <c r="K32" s="80" t="str">
        <f>K31</f>
        <v>Main Product</v>
      </c>
      <c r="L32" s="81"/>
      <c r="M32" s="81"/>
      <c r="N32" s="80"/>
      <c r="O32" s="80"/>
      <c r="P32" s="81"/>
      <c r="Q32" s="81"/>
      <c r="R32" s="6"/>
      <c r="S32" s="80"/>
      <c r="T32" s="80" t="s">
        <v>366</v>
      </c>
    </row>
    <row r="33" spans="1:20" x14ac:dyDescent="0.25">
      <c r="A33" s="6" t="s">
        <v>113</v>
      </c>
      <c r="B33" s="6" t="s">
        <v>244</v>
      </c>
      <c r="C33" s="6" t="s">
        <v>277</v>
      </c>
      <c r="D33" s="6"/>
      <c r="E33" s="12">
        <v>409.26462775866599</v>
      </c>
      <c r="F33" s="6" t="s">
        <v>70</v>
      </c>
      <c r="G33" s="25"/>
      <c r="H33" s="25"/>
      <c r="I33" s="26" t="s">
        <v>337</v>
      </c>
      <c r="J33" s="25"/>
      <c r="K33" s="6" t="s">
        <v>113</v>
      </c>
      <c r="L33" s="6" t="str">
        <f>IF(Table118[[#This Row],[Category]]="Transportation", _xlfn.XLOOKUP(Table118[[#This Row],[Resource]], 'SI - Payload'!$A$10:$A$40,'SI - Payload'!$B$10:$B$40,"",0), "")</f>
        <v/>
      </c>
      <c r="M33" s="6" t="str">
        <f>IF(Table118[[#This Row],[Category]]="Transportation", "ton", "")</f>
        <v/>
      </c>
      <c r="N33" s="6">
        <v>21.535015935911794</v>
      </c>
      <c r="O33" s="6" t="s">
        <v>363</v>
      </c>
      <c r="P33" s="6" t="s">
        <v>2</v>
      </c>
      <c r="Q33" s="6" t="s">
        <v>83</v>
      </c>
      <c r="R33" s="6"/>
      <c r="S33" s="6"/>
      <c r="T33" s="6"/>
    </row>
    <row r="34" spans="1:20" x14ac:dyDescent="0.25">
      <c r="A34" s="6" t="s">
        <v>85</v>
      </c>
      <c r="B34" s="6" t="s">
        <v>37</v>
      </c>
      <c r="C34" s="6" t="s">
        <v>51</v>
      </c>
      <c r="D34" s="6"/>
      <c r="E34" s="12">
        <v>1991.2560900000001</v>
      </c>
      <c r="F34" s="6" t="s">
        <v>58</v>
      </c>
      <c r="G34" s="25"/>
      <c r="H34" s="25"/>
      <c r="I34" s="26" t="s">
        <v>114</v>
      </c>
      <c r="J34" s="25"/>
      <c r="K34" s="6" t="s">
        <v>85</v>
      </c>
      <c r="L34" s="6" t="str">
        <f>IF(Table118[[#This Row],[Category]]="Transportation", _xlfn.XLOOKUP(Table118[[#This Row],[Resource]], 'SI - Payload'!$A$10:$A$40,'SI - Payload'!$B$10:$B$40,"",0), "")</f>
        <v/>
      </c>
      <c r="M34" s="6" t="str">
        <f>IF(Table118[[#This Row],[Category]]="Transportation", "ton", "")</f>
        <v/>
      </c>
      <c r="N34" s="6">
        <v>1.8739390198196608</v>
      </c>
      <c r="O34" s="6" t="s">
        <v>364</v>
      </c>
      <c r="P34" s="6" t="s">
        <v>278</v>
      </c>
      <c r="Q34" s="6"/>
      <c r="R34" s="6"/>
      <c r="S34" s="6"/>
      <c r="T34" s="6"/>
    </row>
    <row r="35" spans="1:20" x14ac:dyDescent="0.25">
      <c r="A35" s="80" t="s">
        <v>0</v>
      </c>
      <c r="B35" s="80" t="s">
        <v>245</v>
      </c>
      <c r="C35" s="80" t="s">
        <v>229</v>
      </c>
      <c r="D35" s="81"/>
      <c r="E35" s="12">
        <f>12*6/(12*6+8*1+5*16)*44/12*E34</f>
        <v>3285.5725485000003</v>
      </c>
      <c r="F35" s="81" t="str">
        <f>F34</f>
        <v>kg</v>
      </c>
      <c r="G35" s="82"/>
      <c r="H35" s="82"/>
      <c r="I35" s="26"/>
      <c r="J35" s="25"/>
      <c r="K35" s="80" t="str">
        <f>K34</f>
        <v>Co-product</v>
      </c>
      <c r="L35" s="81"/>
      <c r="M35" s="81"/>
      <c r="N35" s="80"/>
      <c r="O35" s="80"/>
      <c r="P35" s="81"/>
      <c r="Q35" s="81"/>
      <c r="R35" s="6"/>
      <c r="S35" s="80"/>
      <c r="T35" s="80" t="s">
        <v>367</v>
      </c>
    </row>
    <row r="36" spans="1:20" x14ac:dyDescent="0.25">
      <c r="A36" s="6" t="s">
        <v>85</v>
      </c>
      <c r="B36" s="6" t="s">
        <v>37</v>
      </c>
      <c r="C36" s="6" t="s">
        <v>280</v>
      </c>
      <c r="D36" s="6" t="s">
        <v>337</v>
      </c>
      <c r="E36" s="12">
        <v>14639.1765</v>
      </c>
      <c r="F36" s="6" t="s">
        <v>58</v>
      </c>
      <c r="G36" s="25"/>
      <c r="H36" s="25"/>
      <c r="I36" s="26" t="s">
        <v>124</v>
      </c>
      <c r="J36" s="25"/>
      <c r="K36" s="6" t="s">
        <v>86</v>
      </c>
      <c r="L36" s="6" t="str">
        <f>IF(Table118[[#This Row],[Category]]="Transportation", _xlfn.XLOOKUP(Table118[[#This Row],[Resource]], 'SI - Payload'!$A$10:$A$40,'SI - Payload'!$B$10:$B$40,"",0), "")</f>
        <v/>
      </c>
      <c r="M36" s="6" t="str">
        <f>IF(Table118[[#This Row],[Category]]="Transportation", "ton", "")</f>
        <v/>
      </c>
      <c r="N36" s="6"/>
      <c r="O36" s="6"/>
      <c r="P36" s="6" t="s">
        <v>280</v>
      </c>
      <c r="Q36" s="6" t="s">
        <v>337</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IF(Table118[[#This Row],[Type]]="Co-product", "No", "")</f>
        <v/>
      </c>
      <c r="J101" s="25"/>
      <c r="K101" s="6"/>
      <c r="L101" s="6" t="str">
        <f>IF(Table118[[#This Row],[Category]]="Transportation", _xlfn.XLOOKUP(Table118[[#This Row],[Resource]], 'SI - Payload'!$A$10:$A$40,'SI - Payload'!$B$10:$B$40,"",0), "")</f>
        <v/>
      </c>
      <c r="M101" s="6" t="str">
        <f>IF(Table118[[#This Row],[Category]]="Transportation", "ton", "")</f>
        <v/>
      </c>
      <c r="N101" s="6"/>
      <c r="O101" s="6"/>
      <c r="P101" s="6" t="str">
        <f>IF(OR(Table118[[#This Row],[Type]]="Main Product", Table118[[#This Row],[Type]]="Co-Product"), Table118[[#This Row],[Resource]], "")</f>
        <v/>
      </c>
      <c r="Q101" s="6" t="str">
        <f>IF(_xlfn.XLOOKUP($P101,'SI - End Use'!$B$2:$B$6,'SI - End Use'!$C$2:$C$6, "")="", "", _xlfn.XLOOKUP($C101,'SI - End Use'!$B$2:$B$6,'SI - End Use'!$C$2:$C$6, ""))</f>
        <v/>
      </c>
      <c r="R101" s="6"/>
      <c r="S101" s="6"/>
      <c r="T101" s="6"/>
    </row>
    <row r="102" spans="1:20" x14ac:dyDescent="0.25">
      <c r="A102" s="6"/>
      <c r="B102" s="6"/>
      <c r="C102" s="6" t="str">
        <f>_xlfn.XLOOKUP($B102,'SI - Resources'!$A$1:$J$1,'SI - Resources'!$A$2:$J$2, "")</f>
        <v/>
      </c>
      <c r="D102" s="6" t="str">
        <f>IF(_xlfn.XLOOKUP($C102,'SI - End Use'!$B$2:$B$6,'SI - End Use'!$C$2:$C$6, "")="", "", _xlfn.XLOOKUP($C102,'SI - End Use'!$B$2:$B$6,'SI - End Use'!$C$2:$C$6, ""))</f>
        <v/>
      </c>
      <c r="E102" s="12"/>
      <c r="F102" s="6" t="str" cm="1">
        <f t="array" ref="F102">IF($B102="Transportation",  'SI - Units'!$B$9:$B$9, _xlfn.XLOOKUP(_xlfn.XLOOKUP($C102,'SI - Units'!$B$24:$B$109,'SI - Units'!$C$24:$C$109, ""),'SI - Units'!$A$2:$A$8,'SI - Units'!$B$2:$B$8, ""))</f>
        <v/>
      </c>
      <c r="G102" s="25"/>
      <c r="H102" s="25"/>
      <c r="I102" s="26" t="str">
        <f>IF(Table118[[#This Row],[Type]]="Co-product", "No", "")</f>
        <v/>
      </c>
      <c r="J102" s="25"/>
      <c r="K102" s="6"/>
      <c r="L102" s="6" t="str">
        <f>IF(Table118[[#This Row],[Category]]="Transportation", _xlfn.XLOOKUP(Table118[[#This Row],[Resource]], 'SI - Payload'!$A$10:$A$40,'SI - Payload'!$B$10:$B$40,"",0), "")</f>
        <v/>
      </c>
      <c r="M102" s="6" t="str">
        <f>IF(Table118[[#This Row],[Category]]="Transportation", "ton", "")</f>
        <v/>
      </c>
      <c r="N102" s="6"/>
      <c r="O102" s="6"/>
      <c r="P102" s="6" t="str">
        <f>IF(OR(Table118[[#This Row],[Type]]="Main Product", Table118[[#This Row],[Type]]="Co-Product"), Table118[[#This Row],[Resource]], "")</f>
        <v/>
      </c>
      <c r="Q102" s="6" t="str">
        <f>IF(_xlfn.XLOOKUP($P102,'SI - End Use'!$B$2:$B$6,'SI - End Use'!$C$2:$C$6, "")="", "", _xlfn.XLOOKUP($C102,'SI - End Use'!$B$2:$B$6,'SI - End Use'!$C$2:$C$6, ""))</f>
        <v/>
      </c>
      <c r="R102" s="6"/>
      <c r="S102" s="6"/>
      <c r="T102" s="6"/>
    </row>
  </sheetData>
  <dataValidations count="7">
    <dataValidation type="decimal" allowBlank="1" showInputMessage="1" showErrorMessage="1" sqref="J6:J102" xr:uid="{2E780E09-E48E-406E-A27B-DB9924F9A17F}">
      <formula1>0</formula1>
      <formula2>1</formula2>
    </dataValidation>
    <dataValidation type="list" allowBlank="1" showInputMessage="1" showErrorMessage="1" sqref="M6:M102" xr:uid="{801C2333-1E78-4AFE-91E1-F879E6C4B0AC}">
      <formula1>payload_units</formula1>
    </dataValidation>
    <dataValidation type="decimal" operator="greaterThan" allowBlank="1" showInputMessage="1" showErrorMessage="1" error="Please type a positive number." sqref="L6:L102" xr:uid="{C786CC9A-A489-4A10-B74C-6742400B0318}">
      <formula1>0</formula1>
    </dataValidation>
    <dataValidation type="decimal" operator="greaterThan" allowBlank="1" showInputMessage="1" showErrorMessage="1" error="Please type a positive price." sqref="N6:N102" xr:uid="{54CCC6ED-D4ED-484E-BD5A-A8DBE927EB80}">
      <formula1>0</formula1>
    </dataValidation>
    <dataValidation type="decimal" allowBlank="1" showInputMessage="1" showErrorMessage="1" error="Please type a number between 0 and 1." sqref="G6:G102" xr:uid="{D4415697-233F-4DC1-97AC-092ADA5B0734}">
      <formula1>0</formula1>
      <formula2>1</formula2>
    </dataValidation>
    <dataValidation type="custom" allowBlank="1" showInputMessage="1" showErrorMessage="1" sqref="E6:E102"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F6:F102</xm:sqref>
        </x14:dataValidation>
        <x14:dataValidation type="list" allowBlank="1" showInputMessage="1" showErrorMessage="1" xr:uid="{BC898F8B-9D0C-4D76-8FBF-49373E8FCC12}">
          <x14:formula1>
            <xm:f>INDIRECT("p_"&amp;_xlfn.XLOOKUP($C6,'SI - Units'!$F$26:$F$36,'SI - Units'!$G$26:$G$36,"mass",0))</xm:f>
          </x14:formula1>
          <xm:sqref>O6:O102</xm:sqref>
        </x14:dataValidation>
        <x14:dataValidation type="list" allowBlank="1" showInputMessage="1" showErrorMessage="1" xr:uid="{D4B16CB1-7F44-4449-A772-716793E2AF6A}">
          <x14:formula1>
            <xm:f>INDIRECT(_xlfn.XLOOKUP($P6,'SI - End Use'!$A$11:$A$17,'SI - End Use'!$B$11:$B$17,"other_end_use",0))</xm:f>
          </x14:formula1>
          <xm:sqref>Q6:R102</xm:sqref>
        </x14:dataValidation>
        <x14:dataValidation type="list" allowBlank="1" showInputMessage="1" xr:uid="{A026ABCD-9090-484C-8035-86332534803F}">
          <x14:formula1>
            <xm:f>INDIRECT(_xlfn.XLOOKUP($C6,'SI - End Use'!$A$11:$A$17,'SI - End Use'!$B$11:$B$17,"other_end_use",0))</xm:f>
          </x14:formula1>
          <xm:sqref>D6:D102</xm:sqref>
        </x14:dataValidation>
        <x14:dataValidation type="list" allowBlank="1" showInputMessage="1" showErrorMessage="1" xr:uid="{904E694A-45BB-4B94-897E-3907D357430E}">
          <x14:formula1>
            <xm:f>INDIRECT(_xlfn.XLOOKUP($B6, 'SI - Resources'!$R$1:$R$10,'SI - Resources'!$S$1:$S$10, "placeholder_resource", 0))</xm:f>
          </x14:formula1>
          <xm:sqref>P6:P102 C6:C102</xm:sqref>
        </x14:dataValidation>
        <x14:dataValidation type="list" allowBlank="1" showInputMessage="1" showErrorMessage="1" xr:uid="{A6556E34-1713-47C4-BBE6-25D582262715}">
          <x14:formula1>
            <xm:f>'SI - Co-products'!$B$2:$B$6</xm:f>
          </x14:formula1>
          <xm:sqref>A6:A102</xm:sqref>
        </x14:dataValidation>
        <x14:dataValidation type="list" allowBlank="1" showInputMessage="1" showErrorMessage="1" xr:uid="{FA116AF0-7221-484C-805C-A86D516E6E07}">
          <x14:formula1>
            <xm:f>'SI - Resources'!$A$1:$J$1</xm:f>
          </x14:formula1>
          <xm:sqref>B6:B102</xm:sqref>
        </x14:dataValidation>
        <x14:dataValidation type="list" allowBlank="1" showInputMessage="1" showErrorMessage="1" xr:uid="{DDD203C8-AF69-422E-A440-DCF3CD30F809}">
          <x14:formula1>
            <xm:f>'SI - Co-products'!$C$2:$C$4</xm:f>
          </x14:formula1>
          <xm:sqref>I6:I102</xm:sqref>
        </x14:dataValidation>
        <x14:dataValidation type="list" allowBlank="1" showInputMessage="1" showErrorMessage="1" xr:uid="{663B9A35-527C-4790-A0CD-A709044001BC}">
          <x14:formula1>
            <xm:f>'SI - Co-products'!$A$2:$A$5</xm:f>
          </x14:formula1>
          <xm:sqref>K6:K102</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79">
        <v>0.68500000000000005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277</v>
      </c>
      <c r="D6" s="6" t="str">
        <f>IF(_xlfn.XLOOKUP($C6,'SI - End Use'!$B$2:$B$6,'SI - End Use'!$C$2:$C$6, "")="", "", _xlfn.XLOOKUP($C6,'SI - End Use'!$B$2:$B$6,'SI - End Use'!$C$2:$C$6, ""))</f>
        <v/>
      </c>
      <c r="E6" s="78">
        <v>1.000045143067781</v>
      </c>
      <c r="F6" s="6" t="s">
        <v>70</v>
      </c>
      <c r="G6" s="25"/>
      <c r="H6" s="25" t="s">
        <v>365</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33</v>
      </c>
      <c r="C8" s="6" t="s">
        <v>277</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25">
      <c r="A9" s="6" t="s">
        <v>113</v>
      </c>
      <c r="B9" s="6" t="s">
        <v>244</v>
      </c>
      <c r="C9" s="6" t="s">
        <v>277</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7" t="s">
        <v>338</v>
      </c>
      <c r="C1" s="87"/>
      <c r="D1" s="62" t="s">
        <v>339</v>
      </c>
      <c r="E1" s="62" t="s">
        <v>340</v>
      </c>
      <c r="F1" s="62" t="s">
        <v>341</v>
      </c>
      <c r="G1" s="62" t="s">
        <v>342</v>
      </c>
      <c r="H1" s="62" t="s">
        <v>343</v>
      </c>
    </row>
    <row r="2" spans="1:8" x14ac:dyDescent="0.25">
      <c r="A2" s="62" t="s">
        <v>344</v>
      </c>
      <c r="B2" s="86">
        <v>89.04</v>
      </c>
      <c r="C2" s="86"/>
      <c r="D2" s="64">
        <v>1</v>
      </c>
      <c r="E2" s="63"/>
      <c r="F2" s="63"/>
      <c r="G2" s="65">
        <v>0.3</v>
      </c>
      <c r="H2" s="65">
        <v>0</v>
      </c>
    </row>
    <row r="3" spans="1:8" x14ac:dyDescent="0.25">
      <c r="A3" s="62" t="s">
        <v>345</v>
      </c>
      <c r="B3" s="88">
        <v>23.19</v>
      </c>
      <c r="C3" s="89"/>
      <c r="D3" s="66"/>
      <c r="E3" s="67">
        <v>1</v>
      </c>
      <c r="F3" s="66"/>
      <c r="G3" s="68">
        <v>0.2</v>
      </c>
      <c r="H3" s="68">
        <v>8.7999999999999995E-2</v>
      </c>
    </row>
    <row r="4" spans="1:8" x14ac:dyDescent="0.25">
      <c r="A4" s="62"/>
      <c r="B4" s="63"/>
      <c r="C4" s="63"/>
      <c r="D4" s="63"/>
      <c r="E4" s="63"/>
      <c r="F4" s="63"/>
      <c r="G4" s="63"/>
      <c r="H4" s="63"/>
    </row>
    <row r="5" spans="1:8" x14ac:dyDescent="0.25">
      <c r="A5" s="62"/>
      <c r="B5" s="69" t="s">
        <v>346</v>
      </c>
      <c r="C5" s="69" t="s">
        <v>347</v>
      </c>
      <c r="D5" s="69" t="s">
        <v>339</v>
      </c>
      <c r="E5" s="69" t="s">
        <v>340</v>
      </c>
      <c r="F5" s="69" t="s">
        <v>341</v>
      </c>
      <c r="G5" s="69" t="s">
        <v>342</v>
      </c>
      <c r="H5" s="62" t="s">
        <v>343</v>
      </c>
    </row>
    <row r="6" spans="1:8" x14ac:dyDescent="0.25">
      <c r="A6" s="62" t="s">
        <v>348</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90" t="s">
        <v>349</v>
      </c>
      <c r="C8" s="90"/>
      <c r="D8" s="69" t="s">
        <v>339</v>
      </c>
      <c r="E8" s="69" t="s">
        <v>340</v>
      </c>
      <c r="F8" s="69" t="s">
        <v>341</v>
      </c>
      <c r="G8" s="69" t="s">
        <v>342</v>
      </c>
      <c r="H8" s="62" t="s">
        <v>343</v>
      </c>
    </row>
    <row r="9" spans="1:8" x14ac:dyDescent="0.25">
      <c r="A9" s="62" t="s">
        <v>350</v>
      </c>
      <c r="B9" s="86">
        <v>10.92</v>
      </c>
      <c r="C9" s="86"/>
      <c r="D9" s="63"/>
      <c r="E9" s="64">
        <v>1</v>
      </c>
      <c r="F9" s="63"/>
      <c r="G9" s="71">
        <v>0.11409999999999999</v>
      </c>
      <c r="H9" s="71">
        <v>8.1557678177810455E-2</v>
      </c>
    </row>
    <row r="10" spans="1:8" x14ac:dyDescent="0.25">
      <c r="A10" s="62" t="s">
        <v>351</v>
      </c>
      <c r="B10" s="86">
        <v>289.14999999999998</v>
      </c>
      <c r="C10" s="86"/>
      <c r="D10" s="63"/>
      <c r="E10" s="64">
        <v>1</v>
      </c>
      <c r="F10" s="63"/>
      <c r="G10" s="71">
        <v>0.11409999999999999</v>
      </c>
      <c r="H10" s="71">
        <v>0.02</v>
      </c>
    </row>
    <row r="11" spans="1:8" x14ac:dyDescent="0.25">
      <c r="A11" s="62" t="s">
        <v>352</v>
      </c>
      <c r="B11" s="86">
        <v>7.72</v>
      </c>
      <c r="C11" s="86"/>
      <c r="D11" s="72">
        <v>0.89500000000000002</v>
      </c>
      <c r="E11" s="72">
        <f>1-D11</f>
        <v>0.10499999999999998</v>
      </c>
      <c r="F11" s="63"/>
      <c r="G11" s="71">
        <v>0.11409999999999999</v>
      </c>
      <c r="H11" s="71">
        <v>0</v>
      </c>
    </row>
    <row r="12" spans="1:8" x14ac:dyDescent="0.25">
      <c r="A12" s="62" t="s">
        <v>353</v>
      </c>
      <c r="B12" s="86">
        <v>0</v>
      </c>
      <c r="C12" s="86"/>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346</v>
      </c>
      <c r="C14" s="69" t="s">
        <v>347</v>
      </c>
      <c r="D14" s="69" t="s">
        <v>339</v>
      </c>
      <c r="E14" s="69" t="s">
        <v>340</v>
      </c>
      <c r="F14" s="69" t="s">
        <v>341</v>
      </c>
      <c r="G14" s="69" t="s">
        <v>342</v>
      </c>
      <c r="H14" s="62" t="s">
        <v>343</v>
      </c>
    </row>
    <row r="15" spans="1:8" x14ac:dyDescent="0.2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2022-11-08T22:11:03Z</dcterms:modified>
</cp:coreProperties>
</file>