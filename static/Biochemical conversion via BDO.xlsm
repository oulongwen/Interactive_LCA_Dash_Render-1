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C26820EB-4379-4B77-A647-51F53E10E557}" xr6:coauthVersionLast="47" xr6:coauthVersionMax="47" xr10:uidLastSave="{00000000-0000-0000-0000-000000000000}"/>
  <bookViews>
    <workbookView xWindow="-120" yWindow="-120" windowWidth="29040" windowHeight="15840" tabRatio="685" firstSheet="9" activeTab="16"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INL Data" sheetId="28" r:id="rId16"/>
    <sheet name="Fuel production" sheetId="37" r:id="rId17"/>
    <sheet name="Fuel distribution" sheetId="3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2" i="37" l="1"/>
  <c r="F32" i="37"/>
  <c r="E32" i="37"/>
  <c r="Q100" i="38" l="1"/>
  <c r="P100" i="38"/>
  <c r="M100" i="38"/>
  <c r="L100" i="38"/>
  <c r="I100" i="38"/>
  <c r="D100" i="38"/>
  <c r="C100" i="38"/>
  <c r="F100" i="38" s="1" a="1"/>
  <c r="F100" i="38" s="1"/>
  <c r="Q99" i="38"/>
  <c r="P99" i="38"/>
  <c r="M99" i="38"/>
  <c r="L99" i="38"/>
  <c r="I99" i="38"/>
  <c r="F99" i="38" a="1"/>
  <c r="F99" i="38" s="1"/>
  <c r="D99" i="38"/>
  <c r="C99" i="38"/>
  <c r="Q98" i="38"/>
  <c r="P98" i="38"/>
  <c r="M98" i="38"/>
  <c r="L98" i="38"/>
  <c r="I98" i="38"/>
  <c r="F98" i="38"/>
  <c r="F98" i="38" a="1"/>
  <c r="C98" i="38"/>
  <c r="D98" i="38" s="1"/>
  <c r="P97" i="38"/>
  <c r="Q97" i="38" s="1"/>
  <c r="M97" i="38"/>
  <c r="L97" i="38"/>
  <c r="I97" i="38"/>
  <c r="F97" i="38"/>
  <c r="F97" i="38" a="1"/>
  <c r="D97" i="38"/>
  <c r="C97" i="38"/>
  <c r="Q96" i="38"/>
  <c r="P96" i="38"/>
  <c r="M96" i="38"/>
  <c r="L96" i="38"/>
  <c r="I96" i="38"/>
  <c r="C96" i="38"/>
  <c r="F96" i="38" s="1" a="1"/>
  <c r="F96" i="38" s="1"/>
  <c r="P95" i="38"/>
  <c r="Q95" i="38" s="1"/>
  <c r="M95" i="38"/>
  <c r="L95" i="38"/>
  <c r="I95" i="38"/>
  <c r="F95" i="38" a="1"/>
  <c r="F95" i="38" s="1"/>
  <c r="D95" i="38"/>
  <c r="C95" i="38"/>
  <c r="P94" i="38"/>
  <c r="Q94" i="38" s="1"/>
  <c r="M94" i="38"/>
  <c r="L94" i="38"/>
  <c r="I94" i="38"/>
  <c r="F94" i="38" a="1"/>
  <c r="F94" i="38" s="1"/>
  <c r="D94" i="38"/>
  <c r="C94" i="38"/>
  <c r="Q93" i="38"/>
  <c r="P93" i="38"/>
  <c r="M93" i="38"/>
  <c r="L93" i="38"/>
  <c r="I93" i="38"/>
  <c r="C93" i="38"/>
  <c r="F93" i="38" s="1" a="1"/>
  <c r="F93" i="38" s="1"/>
  <c r="Q92" i="38"/>
  <c r="P92" i="38"/>
  <c r="M92" i="38"/>
  <c r="L92" i="38"/>
  <c r="I92" i="38"/>
  <c r="D92" i="38"/>
  <c r="C92" i="38"/>
  <c r="F92" i="38" s="1" a="1"/>
  <c r="F92" i="38" s="1"/>
  <c r="Q91" i="38"/>
  <c r="P91" i="38"/>
  <c r="M91" i="38"/>
  <c r="L91" i="38"/>
  <c r="I91" i="38"/>
  <c r="F91" i="38" a="1"/>
  <c r="F91" i="38" s="1"/>
  <c r="D91" i="38"/>
  <c r="C91" i="38"/>
  <c r="P90" i="38"/>
  <c r="Q90" i="38" s="1"/>
  <c r="M90" i="38"/>
  <c r="L90" i="38"/>
  <c r="I90" i="38"/>
  <c r="F90" i="38"/>
  <c r="F90" i="38" a="1"/>
  <c r="D90" i="38"/>
  <c r="C90" i="38"/>
  <c r="P89" i="38"/>
  <c r="Q89" i="38" s="1"/>
  <c r="M89" i="38"/>
  <c r="L89" i="38"/>
  <c r="I89" i="38"/>
  <c r="F89" i="38"/>
  <c r="F89" i="38" a="1"/>
  <c r="C89" i="38"/>
  <c r="D89" i="38" s="1"/>
  <c r="Q88" i="38"/>
  <c r="P88" i="38"/>
  <c r="M88" i="38"/>
  <c r="L88" i="38"/>
  <c r="I88" i="38"/>
  <c r="C88" i="38"/>
  <c r="F88" i="38" s="1" a="1"/>
  <c r="F88" i="38" s="1"/>
  <c r="Q87" i="38"/>
  <c r="P87" i="38"/>
  <c r="M87" i="38"/>
  <c r="L87" i="38"/>
  <c r="I87" i="38"/>
  <c r="F87" i="38" a="1"/>
  <c r="F87" i="38" s="1"/>
  <c r="D87" i="38"/>
  <c r="C87" i="38"/>
  <c r="P86" i="38"/>
  <c r="Q86" i="38" s="1"/>
  <c r="M86" i="38"/>
  <c r="L86" i="38"/>
  <c r="I86" i="38"/>
  <c r="F86" i="38" a="1"/>
  <c r="F86" i="38" s="1"/>
  <c r="D86" i="38"/>
  <c r="C86" i="38"/>
  <c r="Q85" i="38"/>
  <c r="P85" i="38"/>
  <c r="M85" i="38"/>
  <c r="L85" i="38"/>
  <c r="I85" i="38"/>
  <c r="C85" i="38"/>
  <c r="F85" i="38" s="1" a="1"/>
  <c r="F85" i="38" s="1"/>
  <c r="Q84" i="38"/>
  <c r="P84" i="38"/>
  <c r="M84" i="38"/>
  <c r="L84" i="38"/>
  <c r="I84" i="38"/>
  <c r="D84" i="38"/>
  <c r="C84" i="38"/>
  <c r="F84" i="38" s="1" a="1"/>
  <c r="F84" i="38" s="1"/>
  <c r="Q83" i="38"/>
  <c r="P83" i="38"/>
  <c r="M83" i="38"/>
  <c r="L83" i="38"/>
  <c r="I83" i="38"/>
  <c r="F83" i="38" a="1"/>
  <c r="F83" i="38" s="1"/>
  <c r="D83" i="38"/>
  <c r="C83" i="38"/>
  <c r="P82" i="38"/>
  <c r="Q82" i="38" s="1"/>
  <c r="M82" i="38"/>
  <c r="L82" i="38"/>
  <c r="I82" i="38"/>
  <c r="F82" i="38"/>
  <c r="F82" i="38" a="1"/>
  <c r="D82" i="38"/>
  <c r="C82" i="38"/>
  <c r="P81" i="38"/>
  <c r="Q81" i="38" s="1"/>
  <c r="M81" i="38"/>
  <c r="L81" i="38"/>
  <c r="I81" i="38"/>
  <c r="F81" i="38"/>
  <c r="F81" i="38" a="1"/>
  <c r="C81" i="38"/>
  <c r="D81" i="38" s="1"/>
  <c r="Q80" i="38"/>
  <c r="P80" i="38"/>
  <c r="M80" i="38"/>
  <c r="L80" i="38"/>
  <c r="I80" i="38"/>
  <c r="C80" i="38"/>
  <c r="F80" i="38" s="1" a="1"/>
  <c r="F80" i="38" s="1"/>
  <c r="Q79" i="38"/>
  <c r="P79" i="38"/>
  <c r="M79" i="38"/>
  <c r="L79" i="38"/>
  <c r="I79" i="38"/>
  <c r="F79" i="38" a="1"/>
  <c r="F79" i="38" s="1"/>
  <c r="D79" i="38"/>
  <c r="C79" i="38"/>
  <c r="P78" i="38"/>
  <c r="Q78" i="38" s="1"/>
  <c r="M78" i="38"/>
  <c r="L78" i="38"/>
  <c r="I78" i="38"/>
  <c r="F78" i="38" a="1"/>
  <c r="F78" i="38" s="1"/>
  <c r="D78" i="38"/>
  <c r="C78" i="38"/>
  <c r="Q77" i="38"/>
  <c r="P77" i="38"/>
  <c r="M77" i="38"/>
  <c r="L77" i="38"/>
  <c r="I77" i="38"/>
  <c r="C77" i="38"/>
  <c r="F77" i="38" s="1" a="1"/>
  <c r="F77" i="38" s="1"/>
  <c r="Q76" i="38"/>
  <c r="P76" i="38"/>
  <c r="M76" i="38"/>
  <c r="L76" i="38"/>
  <c r="I76" i="38"/>
  <c r="D76" i="38"/>
  <c r="C76" i="38"/>
  <c r="F76" i="38" s="1" a="1"/>
  <c r="F76" i="38" s="1"/>
  <c r="Q75" i="38"/>
  <c r="P75" i="38"/>
  <c r="M75" i="38"/>
  <c r="L75" i="38"/>
  <c r="I75" i="38"/>
  <c r="F75" i="38" a="1"/>
  <c r="F75" i="38" s="1"/>
  <c r="D75" i="38"/>
  <c r="C75" i="38"/>
  <c r="P74" i="38"/>
  <c r="Q74" i="38" s="1"/>
  <c r="M74" i="38"/>
  <c r="L74" i="38"/>
  <c r="I74" i="38"/>
  <c r="F74" i="38"/>
  <c r="F74" i="38" a="1"/>
  <c r="D74" i="38"/>
  <c r="C74" i="38"/>
  <c r="P73" i="38"/>
  <c r="Q73" i="38" s="1"/>
  <c r="M73" i="38"/>
  <c r="L73" i="38"/>
  <c r="I73" i="38"/>
  <c r="F73" i="38"/>
  <c r="F73" i="38" a="1"/>
  <c r="C73" i="38"/>
  <c r="D73" i="38" s="1"/>
  <c r="Q72" i="38"/>
  <c r="P72" i="38"/>
  <c r="M72" i="38"/>
  <c r="L72" i="38"/>
  <c r="I72" i="38"/>
  <c r="C72" i="38"/>
  <c r="F72" i="38" s="1" a="1"/>
  <c r="F72" i="38" s="1"/>
  <c r="Q71" i="38"/>
  <c r="P71" i="38"/>
  <c r="M71" i="38"/>
  <c r="L71" i="38"/>
  <c r="I71" i="38"/>
  <c r="F71" i="38" a="1"/>
  <c r="F71" i="38" s="1"/>
  <c r="D71" i="38"/>
  <c r="C71" i="38"/>
  <c r="P70" i="38"/>
  <c r="Q70" i="38" s="1"/>
  <c r="M70" i="38"/>
  <c r="L70" i="38"/>
  <c r="I70" i="38"/>
  <c r="F70" i="38" a="1"/>
  <c r="F70" i="38" s="1"/>
  <c r="D70" i="38"/>
  <c r="C70" i="38"/>
  <c r="Q69" i="38"/>
  <c r="P69" i="38"/>
  <c r="M69" i="38"/>
  <c r="L69" i="38"/>
  <c r="I69" i="38"/>
  <c r="C69" i="38"/>
  <c r="F69" i="38" s="1" a="1"/>
  <c r="F69" i="38" s="1"/>
  <c r="Q68" i="38"/>
  <c r="P68" i="38"/>
  <c r="M68" i="38"/>
  <c r="L68" i="38"/>
  <c r="I68" i="38"/>
  <c r="D68" i="38"/>
  <c r="C68" i="38"/>
  <c r="F68" i="38" s="1" a="1"/>
  <c r="F68" i="38" s="1"/>
  <c r="Q67" i="38"/>
  <c r="P67" i="38"/>
  <c r="M67" i="38"/>
  <c r="L67" i="38"/>
  <c r="I67" i="38"/>
  <c r="F67" i="38" a="1"/>
  <c r="F67" i="38" s="1"/>
  <c r="D67" i="38"/>
  <c r="C67" i="38"/>
  <c r="P66" i="38"/>
  <c r="Q66" i="38" s="1"/>
  <c r="M66" i="38"/>
  <c r="L66" i="38"/>
  <c r="I66" i="38"/>
  <c r="F66" i="38"/>
  <c r="F66" i="38" a="1"/>
  <c r="D66" i="38"/>
  <c r="C66" i="38"/>
  <c r="P65" i="38"/>
  <c r="Q65" i="38" s="1"/>
  <c r="M65" i="38"/>
  <c r="L65" i="38"/>
  <c r="I65" i="38"/>
  <c r="F65" i="38"/>
  <c r="F65" i="38" a="1"/>
  <c r="C65" i="38"/>
  <c r="D65" i="38" s="1"/>
  <c r="Q64" i="38"/>
  <c r="P64" i="38"/>
  <c r="M64" i="38"/>
  <c r="L64" i="38"/>
  <c r="I64" i="38"/>
  <c r="C64" i="38"/>
  <c r="F64" i="38" s="1" a="1"/>
  <c r="F64" i="38" s="1"/>
  <c r="Q63" i="38"/>
  <c r="P63" i="38"/>
  <c r="M63" i="38"/>
  <c r="L63" i="38"/>
  <c r="I63" i="38"/>
  <c r="F63" i="38" a="1"/>
  <c r="F63" i="38" s="1"/>
  <c r="D63" i="38"/>
  <c r="C63" i="38"/>
  <c r="P62" i="38"/>
  <c r="Q62" i="38" s="1"/>
  <c r="M62" i="38"/>
  <c r="L62" i="38"/>
  <c r="I62" i="38"/>
  <c r="F62" i="38" a="1"/>
  <c r="F62" i="38" s="1"/>
  <c r="D62" i="38"/>
  <c r="C62" i="38"/>
  <c r="Q61" i="38"/>
  <c r="P61" i="38"/>
  <c r="M61" i="38"/>
  <c r="L61" i="38"/>
  <c r="I61" i="38"/>
  <c r="C61" i="38"/>
  <c r="F61" i="38" s="1" a="1"/>
  <c r="F61" i="38" s="1"/>
  <c r="Q60" i="38"/>
  <c r="P60" i="38"/>
  <c r="M60" i="38"/>
  <c r="L60" i="38"/>
  <c r="I60" i="38"/>
  <c r="D60" i="38"/>
  <c r="C60" i="38"/>
  <c r="F60" i="38" s="1" a="1"/>
  <c r="F60" i="38" s="1"/>
  <c r="Q59" i="38"/>
  <c r="P59" i="38"/>
  <c r="M59" i="38"/>
  <c r="L59" i="38"/>
  <c r="I59" i="38"/>
  <c r="F59" i="38" a="1"/>
  <c r="F59" i="38" s="1"/>
  <c r="D59" i="38"/>
  <c r="C59" i="38"/>
  <c r="P58" i="38"/>
  <c r="Q58" i="38" s="1"/>
  <c r="M58" i="38"/>
  <c r="L58" i="38"/>
  <c r="I58" i="38"/>
  <c r="F58" i="38"/>
  <c r="F58" i="38" a="1"/>
  <c r="D58" i="38"/>
  <c r="C58" i="38"/>
  <c r="P57" i="38"/>
  <c r="Q57" i="38" s="1"/>
  <c r="M57" i="38"/>
  <c r="L57" i="38"/>
  <c r="I57" i="38"/>
  <c r="F57" i="38"/>
  <c r="F57" i="38" a="1"/>
  <c r="C57" i="38"/>
  <c r="D57" i="38" s="1"/>
  <c r="Q56" i="38"/>
  <c r="P56" i="38"/>
  <c r="M56" i="38"/>
  <c r="L56" i="38"/>
  <c r="I56" i="38"/>
  <c r="C56" i="38"/>
  <c r="F56" i="38" s="1" a="1"/>
  <c r="F56" i="38" s="1"/>
  <c r="Q55" i="38"/>
  <c r="P55" i="38"/>
  <c r="M55" i="38"/>
  <c r="L55" i="38"/>
  <c r="I55" i="38"/>
  <c r="F55" i="38" a="1"/>
  <c r="F55" i="38" s="1"/>
  <c r="D55" i="38"/>
  <c r="C55" i="38"/>
  <c r="P54" i="38"/>
  <c r="Q54" i="38" s="1"/>
  <c r="M54" i="38"/>
  <c r="L54" i="38"/>
  <c r="I54" i="38"/>
  <c r="F54" i="38" a="1"/>
  <c r="F54" i="38" s="1"/>
  <c r="D54" i="38"/>
  <c r="C54" i="38"/>
  <c r="Q53" i="38"/>
  <c r="P53" i="38"/>
  <c r="M53" i="38"/>
  <c r="L53" i="38"/>
  <c r="I53" i="38"/>
  <c r="C53" i="38"/>
  <c r="F53" i="38" s="1" a="1"/>
  <c r="F53" i="38" s="1"/>
  <c r="Q52" i="38"/>
  <c r="P52" i="38"/>
  <c r="M52" i="38"/>
  <c r="L52" i="38"/>
  <c r="I52" i="38"/>
  <c r="D52" i="38"/>
  <c r="C52" i="38"/>
  <c r="F52" i="38" s="1" a="1"/>
  <c r="F52" i="38" s="1"/>
  <c r="Q51" i="38"/>
  <c r="P51" i="38"/>
  <c r="M51" i="38"/>
  <c r="L51" i="38"/>
  <c r="I51" i="38"/>
  <c r="F51" i="38" a="1"/>
  <c r="F51" i="38" s="1"/>
  <c r="D51" i="38"/>
  <c r="C51" i="38"/>
  <c r="P50" i="38"/>
  <c r="Q50" i="38" s="1"/>
  <c r="M50" i="38"/>
  <c r="L50" i="38"/>
  <c r="I50" i="38"/>
  <c r="F50" i="38"/>
  <c r="F50" i="38" a="1"/>
  <c r="D50" i="38"/>
  <c r="C50" i="38"/>
  <c r="P49" i="38"/>
  <c r="Q49" i="38" s="1"/>
  <c r="M49" i="38"/>
  <c r="L49" i="38"/>
  <c r="I49" i="38"/>
  <c r="F49" i="38"/>
  <c r="F49" i="38" a="1"/>
  <c r="C49" i="38"/>
  <c r="D49" i="38" s="1"/>
  <c r="Q48" i="38"/>
  <c r="P48" i="38"/>
  <c r="M48" i="38"/>
  <c r="L48" i="38"/>
  <c r="I48" i="38"/>
  <c r="C48" i="38"/>
  <c r="F48" i="38" s="1" a="1"/>
  <c r="F48" i="38" s="1"/>
  <c r="Q47" i="38"/>
  <c r="P47" i="38"/>
  <c r="M47" i="38"/>
  <c r="L47" i="38"/>
  <c r="I47" i="38"/>
  <c r="F47" i="38" a="1"/>
  <c r="F47" i="38" s="1"/>
  <c r="D47" i="38"/>
  <c r="C47" i="38"/>
  <c r="P46" i="38"/>
  <c r="Q46" i="38" s="1"/>
  <c r="M46" i="38"/>
  <c r="L46" i="38"/>
  <c r="I46" i="38"/>
  <c r="F46" i="38" a="1"/>
  <c r="F46" i="38" s="1"/>
  <c r="D46" i="38"/>
  <c r="C46" i="38"/>
  <c r="Q45" i="38"/>
  <c r="P45" i="38"/>
  <c r="M45" i="38"/>
  <c r="L45" i="38"/>
  <c r="I45" i="38"/>
  <c r="C45" i="38"/>
  <c r="F45" i="38" s="1" a="1"/>
  <c r="F45" i="38" s="1"/>
  <c r="Q44" i="38"/>
  <c r="P44" i="38"/>
  <c r="M44" i="38"/>
  <c r="L44" i="38"/>
  <c r="I44" i="38"/>
  <c r="D44" i="38"/>
  <c r="C44" i="38"/>
  <c r="F44" i="38" s="1" a="1"/>
  <c r="F44" i="38" s="1"/>
  <c r="Q43" i="38"/>
  <c r="P43" i="38"/>
  <c r="M43" i="38"/>
  <c r="L43" i="38"/>
  <c r="I43" i="38"/>
  <c r="F43" i="38" a="1"/>
  <c r="F43" i="38" s="1"/>
  <c r="D43" i="38"/>
  <c r="C43" i="38"/>
  <c r="P42" i="38"/>
  <c r="Q42" i="38" s="1"/>
  <c r="M42" i="38"/>
  <c r="L42" i="38"/>
  <c r="I42" i="38"/>
  <c r="F42" i="38"/>
  <c r="F42" i="38" a="1"/>
  <c r="D42" i="38"/>
  <c r="C42" i="38"/>
  <c r="P41" i="38"/>
  <c r="Q41" i="38" s="1"/>
  <c r="M41" i="38"/>
  <c r="L41" i="38"/>
  <c r="I41" i="38"/>
  <c r="F41" i="38"/>
  <c r="F41" i="38" a="1"/>
  <c r="C41" i="38"/>
  <c r="D41" i="38" s="1"/>
  <c r="Q40" i="38"/>
  <c r="P40" i="38"/>
  <c r="M40" i="38"/>
  <c r="L40" i="38"/>
  <c r="I40" i="38"/>
  <c r="C40" i="38"/>
  <c r="F40" i="38" s="1" a="1"/>
  <c r="F40" i="38" s="1"/>
  <c r="Q39" i="38"/>
  <c r="P39" i="38"/>
  <c r="M39" i="38"/>
  <c r="L39" i="38"/>
  <c r="I39" i="38"/>
  <c r="F39" i="38" a="1"/>
  <c r="F39" i="38" s="1"/>
  <c r="D39" i="38"/>
  <c r="C39" i="38"/>
  <c r="P38" i="38"/>
  <c r="Q38" i="38" s="1"/>
  <c r="M38" i="38"/>
  <c r="L38" i="38"/>
  <c r="I38" i="38"/>
  <c r="F38" i="38" a="1"/>
  <c r="F38" i="38" s="1"/>
  <c r="D38" i="38"/>
  <c r="C38" i="38"/>
  <c r="Q37" i="38"/>
  <c r="P37" i="38"/>
  <c r="M37" i="38"/>
  <c r="L37" i="38"/>
  <c r="I37" i="38"/>
  <c r="C37" i="38"/>
  <c r="F37" i="38" s="1" a="1"/>
  <c r="F37" i="38" s="1"/>
  <c r="Q36" i="38"/>
  <c r="P36" i="38"/>
  <c r="M36" i="38"/>
  <c r="L36" i="38"/>
  <c r="I36" i="38"/>
  <c r="D36" i="38"/>
  <c r="C36" i="38"/>
  <c r="F36" i="38" s="1" a="1"/>
  <c r="F36" i="38" s="1"/>
  <c r="Q35" i="38"/>
  <c r="P35" i="38"/>
  <c r="M35" i="38"/>
  <c r="L35" i="38"/>
  <c r="I35" i="38"/>
  <c r="F35" i="38" a="1"/>
  <c r="F35" i="38" s="1"/>
  <c r="D35" i="38"/>
  <c r="C35" i="38"/>
  <c r="P34" i="38"/>
  <c r="Q34" i="38" s="1"/>
  <c r="M34" i="38"/>
  <c r="L34" i="38"/>
  <c r="I34" i="38"/>
  <c r="F34" i="38" a="1"/>
  <c r="F34" i="38" s="1"/>
  <c r="D34" i="38"/>
  <c r="C34" i="38"/>
  <c r="P33" i="38"/>
  <c r="Q33" i="38" s="1"/>
  <c r="M33" i="38"/>
  <c r="L33" i="38"/>
  <c r="I33" i="38"/>
  <c r="F33" i="38"/>
  <c r="F33" i="38" a="1"/>
  <c r="C33" i="38"/>
  <c r="D33" i="38" s="1"/>
  <c r="Q32" i="38"/>
  <c r="P32" i="38"/>
  <c r="M32" i="38"/>
  <c r="L32" i="38"/>
  <c r="I32" i="38"/>
  <c r="C32" i="38"/>
  <c r="F32" i="38" s="1" a="1"/>
  <c r="F32" i="38" s="1"/>
  <c r="Q31" i="38"/>
  <c r="P31" i="38"/>
  <c r="M31" i="38"/>
  <c r="L31" i="38"/>
  <c r="I31" i="38"/>
  <c r="F31" i="38" a="1"/>
  <c r="F31" i="38" s="1"/>
  <c r="D31" i="38"/>
  <c r="C31" i="38"/>
  <c r="P30" i="38"/>
  <c r="Q30" i="38" s="1"/>
  <c r="M30" i="38"/>
  <c r="L30" i="38"/>
  <c r="I30" i="38"/>
  <c r="F30" i="38" a="1"/>
  <c r="F30" i="38" s="1"/>
  <c r="D30" i="38"/>
  <c r="C30" i="38"/>
  <c r="P29" i="38"/>
  <c r="Q29" i="38" s="1"/>
  <c r="M29" i="38"/>
  <c r="L29" i="38"/>
  <c r="I29" i="38"/>
  <c r="C29" i="38"/>
  <c r="F29" i="38" s="1" a="1"/>
  <c r="F29" i="38" s="1"/>
  <c r="Q28" i="38"/>
  <c r="P28" i="38"/>
  <c r="M28" i="38"/>
  <c r="L28" i="38"/>
  <c r="I28" i="38"/>
  <c r="C28" i="38"/>
  <c r="D28" i="38" s="1"/>
  <c r="Q27" i="38"/>
  <c r="P27" i="38"/>
  <c r="M27" i="38"/>
  <c r="L27" i="38"/>
  <c r="I27" i="38"/>
  <c r="F27" i="38" a="1"/>
  <c r="F27" i="38" s="1"/>
  <c r="D27" i="38"/>
  <c r="C27" i="38"/>
  <c r="P26" i="38"/>
  <c r="Q26" i="38" s="1"/>
  <c r="M26" i="38"/>
  <c r="L26" i="38"/>
  <c r="I26" i="38"/>
  <c r="F26" i="38" a="1"/>
  <c r="F26" i="38" s="1"/>
  <c r="D26" i="38"/>
  <c r="C26" i="38"/>
  <c r="P25" i="38"/>
  <c r="Q25" i="38" s="1"/>
  <c r="M25" i="38"/>
  <c r="L25" i="38"/>
  <c r="I25" i="38"/>
  <c r="F25" i="38"/>
  <c r="F25" i="38" a="1"/>
  <c r="C25" i="38"/>
  <c r="D25" i="38" s="1"/>
  <c r="Q24" i="38"/>
  <c r="P24" i="38"/>
  <c r="M24" i="38"/>
  <c r="L24" i="38"/>
  <c r="I24" i="38"/>
  <c r="C24" i="38"/>
  <c r="F24" i="38" s="1" a="1"/>
  <c r="F24" i="38" s="1"/>
  <c r="Q23" i="38"/>
  <c r="P23" i="38"/>
  <c r="M23" i="38"/>
  <c r="L23" i="38"/>
  <c r="I23" i="38"/>
  <c r="F23" i="38" a="1"/>
  <c r="F23" i="38" s="1"/>
  <c r="D23" i="38"/>
  <c r="C23" i="38"/>
  <c r="P22" i="38"/>
  <c r="Q22" i="38" s="1"/>
  <c r="M22" i="38"/>
  <c r="L22" i="38"/>
  <c r="I22" i="38"/>
  <c r="F22" i="38" a="1"/>
  <c r="F22" i="38" s="1"/>
  <c r="D22" i="38"/>
  <c r="C22" i="38"/>
  <c r="P21" i="38"/>
  <c r="Q21" i="38" s="1"/>
  <c r="M21" i="38"/>
  <c r="L21" i="38"/>
  <c r="I21" i="38"/>
  <c r="C21" i="38"/>
  <c r="F21" i="38" s="1" a="1"/>
  <c r="F21" i="38" s="1"/>
  <c r="Q20" i="38"/>
  <c r="P20" i="38"/>
  <c r="M20" i="38"/>
  <c r="L20" i="38"/>
  <c r="I20" i="38"/>
  <c r="C20" i="38"/>
  <c r="D20" i="38" s="1"/>
  <c r="Q19" i="38"/>
  <c r="P19" i="38"/>
  <c r="M19" i="38"/>
  <c r="L19" i="38"/>
  <c r="I19" i="38"/>
  <c r="D19" i="38"/>
  <c r="C19" i="38"/>
  <c r="F19" i="38" s="1" a="1"/>
  <c r="F19" i="38" s="1"/>
  <c r="P18" i="38"/>
  <c r="Q18" i="38" s="1"/>
  <c r="M18" i="38"/>
  <c r="L18" i="38"/>
  <c r="I18" i="38"/>
  <c r="F18" i="38" a="1"/>
  <c r="F18" i="38" s="1"/>
  <c r="D18" i="38"/>
  <c r="C18" i="38"/>
  <c r="P17" i="38"/>
  <c r="Q17" i="38" s="1"/>
  <c r="M17" i="38"/>
  <c r="L17" i="38"/>
  <c r="I17" i="38"/>
  <c r="F17" i="38" a="1"/>
  <c r="F17" i="38" s="1"/>
  <c r="C17" i="38"/>
  <c r="D17" i="38" s="1"/>
  <c r="Q16" i="38"/>
  <c r="P16" i="38"/>
  <c r="M16" i="38"/>
  <c r="L16" i="38"/>
  <c r="I16" i="38"/>
  <c r="C16" i="38"/>
  <c r="F16" i="38" s="1" a="1"/>
  <c r="F16" i="38" s="1"/>
  <c r="Q15" i="38"/>
  <c r="P15" i="38"/>
  <c r="M15" i="38"/>
  <c r="L15" i="38"/>
  <c r="I15" i="38"/>
  <c r="F15" i="38" a="1"/>
  <c r="F15" i="38" s="1"/>
  <c r="D15" i="38"/>
  <c r="C15" i="38"/>
  <c r="P14" i="38"/>
  <c r="Q14" i="38" s="1"/>
  <c r="M14" i="38"/>
  <c r="L14" i="38"/>
  <c r="I14" i="38"/>
  <c r="F14" i="38" a="1"/>
  <c r="F14" i="38" s="1"/>
  <c r="D14" i="38"/>
  <c r="C14" i="38"/>
  <c r="P13" i="38"/>
  <c r="Q13" i="38" s="1"/>
  <c r="M13" i="38"/>
  <c r="L13" i="38"/>
  <c r="I13" i="38"/>
  <c r="C13" i="38"/>
  <c r="F13" i="38" s="1" a="1"/>
  <c r="F13" i="38" s="1"/>
  <c r="P12" i="38"/>
  <c r="Q12" i="38" s="1"/>
  <c r="M12" i="38"/>
  <c r="L12" i="38"/>
  <c r="I12" i="38"/>
  <c r="C12" i="38"/>
  <c r="D12" i="38" s="1"/>
  <c r="Q11" i="38"/>
  <c r="P11" i="38"/>
  <c r="M11" i="38"/>
  <c r="L11" i="38"/>
  <c r="I11" i="38"/>
  <c r="C11" i="38"/>
  <c r="F11" i="38" s="1" a="1"/>
  <c r="F11" i="38" s="1"/>
  <c r="P10" i="38"/>
  <c r="Q10" i="38" s="1"/>
  <c r="M10" i="38"/>
  <c r="L10" i="38"/>
  <c r="I10" i="38"/>
  <c r="F10" i="38" a="1"/>
  <c r="F10" i="38" s="1"/>
  <c r="D10" i="38"/>
  <c r="C10" i="38"/>
  <c r="P101" i="37"/>
  <c r="Q101" i="37" s="1"/>
  <c r="M101" i="37"/>
  <c r="L101" i="37"/>
  <c r="I101" i="37"/>
  <c r="C101" i="37"/>
  <c r="F101" i="37" s="1" a="1"/>
  <c r="F101" i="37" s="1"/>
  <c r="P100" i="37"/>
  <c r="Q100" i="37" s="1"/>
  <c r="M100" i="37"/>
  <c r="L100" i="37"/>
  <c r="I100" i="37"/>
  <c r="C100" i="37"/>
  <c r="F100" i="37" s="1" a="1"/>
  <c r="F100" i="37" s="1"/>
  <c r="Q99" i="37"/>
  <c r="P99" i="37"/>
  <c r="M99" i="37"/>
  <c r="L99" i="37"/>
  <c r="I99" i="37"/>
  <c r="D99" i="37"/>
  <c r="C99" i="37"/>
  <c r="F99" i="37" s="1" a="1"/>
  <c r="F99" i="37" s="1"/>
  <c r="P98" i="37"/>
  <c r="Q98" i="37" s="1"/>
  <c r="M98" i="37"/>
  <c r="L98" i="37"/>
  <c r="I98" i="37"/>
  <c r="C98" i="37"/>
  <c r="D98" i="37" s="1"/>
  <c r="P97" i="37"/>
  <c r="Q97" i="37" s="1"/>
  <c r="M97" i="37"/>
  <c r="L97" i="37"/>
  <c r="I97" i="37"/>
  <c r="C97" i="37"/>
  <c r="F97" i="37" s="1" a="1"/>
  <c r="F97" i="37" s="1"/>
  <c r="Q96" i="37"/>
  <c r="P96" i="37"/>
  <c r="M96" i="37"/>
  <c r="L96" i="37"/>
  <c r="I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F93" i="37" s="1" a="1"/>
  <c r="F93" i="37" s="1"/>
  <c r="P92" i="37"/>
  <c r="Q92" i="37" s="1"/>
  <c r="M92" i="37"/>
  <c r="L92" i="37"/>
  <c r="I92" i="37"/>
  <c r="C92" i="37"/>
  <c r="F92" i="37" s="1" a="1"/>
  <c r="F92" i="37" s="1"/>
  <c r="P91" i="37"/>
  <c r="Q91" i="37" s="1"/>
  <c r="M91" i="37"/>
  <c r="L91" i="37"/>
  <c r="I91" i="37"/>
  <c r="C91" i="37"/>
  <c r="D91" i="37" s="1"/>
  <c r="Q90" i="37"/>
  <c r="P90" i="37"/>
  <c r="M90" i="37"/>
  <c r="L90" i="37"/>
  <c r="I90" i="37"/>
  <c r="C90" i="37"/>
  <c r="F90" i="37" s="1" a="1"/>
  <c r="F90" i="37" s="1"/>
  <c r="P89" i="37"/>
  <c r="Q89" i="37" s="1"/>
  <c r="M89" i="37"/>
  <c r="L89" i="37"/>
  <c r="I89" i="37"/>
  <c r="F89" i="37" a="1"/>
  <c r="F89" i="37" s="1"/>
  <c r="D89" i="37"/>
  <c r="C89" i="37"/>
  <c r="Q88" i="37"/>
  <c r="P88" i="37"/>
  <c r="M88" i="37"/>
  <c r="L88" i="37"/>
  <c r="I88" i="37"/>
  <c r="C88" i="37"/>
  <c r="F88" i="37" s="1" a="1"/>
  <c r="F88" i="37" s="1"/>
  <c r="P87" i="37"/>
  <c r="Q87" i="37" s="1"/>
  <c r="M87" i="37"/>
  <c r="L87" i="37"/>
  <c r="I87" i="37"/>
  <c r="D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C83" i="37"/>
  <c r="F83" i="37" s="1" a="1"/>
  <c r="F83" i="37" s="1"/>
  <c r="P82" i="37"/>
  <c r="Q82" i="37" s="1"/>
  <c r="M82" i="37"/>
  <c r="L82" i="37"/>
  <c r="I82" i="37"/>
  <c r="F82" i="37" a="1"/>
  <c r="F82" i="37" s="1"/>
  <c r="D82" i="37"/>
  <c r="C82" i="37"/>
  <c r="P81" i="37"/>
  <c r="Q81" i="37" s="1"/>
  <c r="M81" i="37"/>
  <c r="L81" i="37"/>
  <c r="I81" i="37"/>
  <c r="C81" i="37"/>
  <c r="D81" i="37" s="1"/>
  <c r="Q80" i="37"/>
  <c r="P80" i="37"/>
  <c r="M80" i="37"/>
  <c r="L80" i="37"/>
  <c r="I80" i="37"/>
  <c r="C80" i="37"/>
  <c r="F80" i="37" s="1" a="1"/>
  <c r="F80" i="37" s="1"/>
  <c r="P79" i="37"/>
  <c r="Q79" i="37" s="1"/>
  <c r="M79" i="37"/>
  <c r="L79" i="37"/>
  <c r="I79" i="37"/>
  <c r="F79" i="37" a="1"/>
  <c r="F79" i="37" s="1"/>
  <c r="D79" i="37"/>
  <c r="C79" i="37"/>
  <c r="P78" i="37"/>
  <c r="Q78" i="37" s="1"/>
  <c r="M78" i="37"/>
  <c r="L78" i="37"/>
  <c r="I78" i="37"/>
  <c r="C78" i="37"/>
  <c r="D78" i="37" s="1"/>
  <c r="P77" i="37"/>
  <c r="Q77" i="37" s="1"/>
  <c r="M77" i="37"/>
  <c r="L77" i="37"/>
  <c r="I77" i="37"/>
  <c r="C77" i="37"/>
  <c r="F77" i="37" s="1" a="1"/>
  <c r="F77" i="37" s="1"/>
  <c r="P76" i="37"/>
  <c r="Q76" i="37" s="1"/>
  <c r="M76" i="37"/>
  <c r="L76" i="37"/>
  <c r="I76" i="37"/>
  <c r="C76" i="37"/>
  <c r="D76" i="37" s="1"/>
  <c r="P75" i="37"/>
  <c r="Q75" i="37" s="1"/>
  <c r="M75" i="37"/>
  <c r="L75" i="37"/>
  <c r="I75" i="37"/>
  <c r="C75" i="37"/>
  <c r="D75" i="37" s="1"/>
  <c r="P74" i="37"/>
  <c r="Q74" i="37" s="1"/>
  <c r="M74" i="37"/>
  <c r="L74" i="37"/>
  <c r="I74" i="37"/>
  <c r="F74" i="37" a="1"/>
  <c r="F74" i="37" s="1"/>
  <c r="D74" i="37"/>
  <c r="C74" i="37"/>
  <c r="P73" i="37"/>
  <c r="Q73" i="37" s="1"/>
  <c r="M73" i="37"/>
  <c r="L73" i="37"/>
  <c r="I73" i="37"/>
  <c r="C73" i="37"/>
  <c r="D73" i="37" s="1"/>
  <c r="P72" i="37"/>
  <c r="Q72" i="37" s="1"/>
  <c r="M72" i="37"/>
  <c r="L72" i="37"/>
  <c r="I72" i="37"/>
  <c r="C72" i="37"/>
  <c r="F72" i="37" s="1" a="1"/>
  <c r="F72" i="37" s="1"/>
  <c r="P71" i="37"/>
  <c r="Q71" i="37" s="1"/>
  <c r="M71" i="37"/>
  <c r="L71" i="37"/>
  <c r="I71" i="37"/>
  <c r="F71" i="37" a="1"/>
  <c r="F71" i="37" s="1"/>
  <c r="D71" i="37"/>
  <c r="C71" i="37"/>
  <c r="P70" i="37"/>
  <c r="Q70" i="37" s="1"/>
  <c r="M70" i="37"/>
  <c r="L70" i="37"/>
  <c r="I70" i="37"/>
  <c r="C70" i="37"/>
  <c r="D70" i="37" s="1"/>
  <c r="P69" i="37"/>
  <c r="Q69" i="37" s="1"/>
  <c r="M69" i="37"/>
  <c r="L69" i="37"/>
  <c r="I69" i="37"/>
  <c r="C69" i="37"/>
  <c r="F69" i="37" s="1" a="1"/>
  <c r="F69" i="37" s="1"/>
  <c r="P68" i="37"/>
  <c r="Q68" i="37" s="1"/>
  <c r="M68" i="37"/>
  <c r="L68" i="37"/>
  <c r="I68" i="37"/>
  <c r="C68" i="37"/>
  <c r="D68" i="37" s="1"/>
  <c r="P67" i="37"/>
  <c r="Q67" i="37" s="1"/>
  <c r="M67" i="37"/>
  <c r="L67" i="37"/>
  <c r="I67" i="37"/>
  <c r="C67" i="37"/>
  <c r="D67" i="37" s="1"/>
  <c r="P66" i="37"/>
  <c r="Q66" i="37" s="1"/>
  <c r="M66" i="37"/>
  <c r="L66" i="37"/>
  <c r="I66" i="37"/>
  <c r="F66" i="37" a="1"/>
  <c r="F66" i="37" s="1"/>
  <c r="D66" i="37"/>
  <c r="C66" i="37"/>
  <c r="P65" i="37"/>
  <c r="Q65" i="37" s="1"/>
  <c r="M65" i="37"/>
  <c r="L65" i="37"/>
  <c r="I65" i="37"/>
  <c r="C65" i="37"/>
  <c r="D65" i="37" s="1"/>
  <c r="P64" i="37"/>
  <c r="Q64" i="37" s="1"/>
  <c r="M64" i="37"/>
  <c r="L64" i="37"/>
  <c r="I64" i="37"/>
  <c r="C64" i="37"/>
  <c r="F64" i="37" s="1" a="1"/>
  <c r="F64" i="37" s="1"/>
  <c r="P63" i="37"/>
  <c r="Q63" i="37" s="1"/>
  <c r="M63" i="37"/>
  <c r="L63" i="37"/>
  <c r="I63" i="37"/>
  <c r="F63" i="37" a="1"/>
  <c r="F63" i="37" s="1"/>
  <c r="D63" i="37"/>
  <c r="C63" i="37"/>
  <c r="P62" i="37"/>
  <c r="Q62" i="37" s="1"/>
  <c r="M62" i="37"/>
  <c r="L62" i="37"/>
  <c r="I62" i="37"/>
  <c r="C62" i="37"/>
  <c r="D62" i="37" s="1"/>
  <c r="P61" i="37"/>
  <c r="Q61" i="37" s="1"/>
  <c r="M61" i="37"/>
  <c r="L61" i="37"/>
  <c r="I61" i="37"/>
  <c r="C61" i="37"/>
  <c r="F61" i="37" s="1" a="1"/>
  <c r="F61" i="37" s="1"/>
  <c r="P60" i="37"/>
  <c r="Q60" i="37" s="1"/>
  <c r="M60" i="37"/>
  <c r="L60" i="37"/>
  <c r="I60" i="37"/>
  <c r="C60" i="37"/>
  <c r="F60" i="37" s="1" a="1"/>
  <c r="F60" i="37" s="1"/>
  <c r="P59" i="37"/>
  <c r="Q59" i="37" s="1"/>
  <c r="M59" i="37"/>
  <c r="L59" i="37"/>
  <c r="I59" i="37"/>
  <c r="C59" i="37"/>
  <c r="D59" i="37" s="1"/>
  <c r="P58" i="37"/>
  <c r="Q58" i="37" s="1"/>
  <c r="M58" i="37"/>
  <c r="L58" i="37"/>
  <c r="I58" i="37"/>
  <c r="F58" i="37" a="1"/>
  <c r="F58" i="37" s="1"/>
  <c r="D58" i="37"/>
  <c r="C58" i="37"/>
  <c r="P57" i="37"/>
  <c r="Q57" i="37" s="1"/>
  <c r="M57" i="37"/>
  <c r="L57" i="37"/>
  <c r="I57" i="37"/>
  <c r="C57" i="37"/>
  <c r="D57" i="37" s="1"/>
  <c r="P56" i="37"/>
  <c r="Q56" i="37" s="1"/>
  <c r="M56" i="37"/>
  <c r="L56" i="37"/>
  <c r="I56" i="37"/>
  <c r="C56" i="37"/>
  <c r="F56" i="37" s="1" a="1"/>
  <c r="F56" i="37" s="1"/>
  <c r="P55" i="37"/>
  <c r="Q55" i="37" s="1"/>
  <c r="M55" i="37"/>
  <c r="L55" i="37"/>
  <c r="I55" i="37"/>
  <c r="F55" i="37" a="1"/>
  <c r="F55" i="37" s="1"/>
  <c r="D55" i="37"/>
  <c r="C55" i="37"/>
  <c r="P54" i="37"/>
  <c r="Q54" i="37" s="1"/>
  <c r="M54" i="37"/>
  <c r="L54" i="37"/>
  <c r="I54" i="37"/>
  <c r="C54" i="37"/>
  <c r="D54" i="37" s="1"/>
  <c r="P53" i="37"/>
  <c r="Q53" i="37" s="1"/>
  <c r="M53" i="37"/>
  <c r="L53" i="37"/>
  <c r="I53" i="37"/>
  <c r="C53" i="37"/>
  <c r="F53" i="37" s="1" a="1"/>
  <c r="F53" i="37" s="1"/>
  <c r="P52" i="37"/>
  <c r="Q52" i="37" s="1"/>
  <c r="M52" i="37"/>
  <c r="L52" i="37"/>
  <c r="I52" i="37"/>
  <c r="C52" i="37"/>
  <c r="F52" i="37" s="1" a="1"/>
  <c r="F52" i="37" s="1"/>
  <c r="P51" i="37"/>
  <c r="Q51" i="37" s="1"/>
  <c r="M51" i="37"/>
  <c r="L51" i="37"/>
  <c r="I51" i="37"/>
  <c r="C51" i="37"/>
  <c r="F51" i="37" s="1" a="1"/>
  <c r="F51" i="37" s="1"/>
  <c r="P50" i="37"/>
  <c r="Q50" i="37" s="1"/>
  <c r="M50" i="37"/>
  <c r="L50" i="37"/>
  <c r="I50" i="37"/>
  <c r="F50" i="37" a="1"/>
  <c r="F50" i="37" s="1"/>
  <c r="D50" i="37"/>
  <c r="C50" i="37"/>
  <c r="P49" i="37"/>
  <c r="Q49" i="37" s="1"/>
  <c r="M49" i="37"/>
  <c r="L49" i="37"/>
  <c r="I49" i="37"/>
  <c r="C49" i="37"/>
  <c r="D49" i="37" s="1"/>
  <c r="P48" i="37"/>
  <c r="Q48" i="37" s="1"/>
  <c r="M48" i="37"/>
  <c r="L48" i="37"/>
  <c r="I48" i="37"/>
  <c r="C48" i="37"/>
  <c r="F48" i="37" s="1" a="1"/>
  <c r="F48" i="37" s="1"/>
  <c r="P47" i="37"/>
  <c r="Q47" i="37" s="1"/>
  <c r="M47" i="37"/>
  <c r="L47" i="37"/>
  <c r="I47" i="37"/>
  <c r="F47" i="37" a="1"/>
  <c r="F47" i="37" s="1"/>
  <c r="D47" i="37"/>
  <c r="C47" i="37"/>
  <c r="P46" i="37"/>
  <c r="Q46" i="37" s="1"/>
  <c r="M46" i="37"/>
  <c r="L46" i="37"/>
  <c r="I46" i="37"/>
  <c r="C46" i="37"/>
  <c r="D46" i="37" s="1"/>
  <c r="P45" i="37"/>
  <c r="Q45" i="37" s="1"/>
  <c r="M45" i="37"/>
  <c r="L45" i="37"/>
  <c r="I45" i="37"/>
  <c r="C45" i="37"/>
  <c r="F45" i="37" s="1" a="1"/>
  <c r="F45" i="37" s="1"/>
  <c r="P44" i="37"/>
  <c r="Q44" i="37" s="1"/>
  <c r="M44" i="37"/>
  <c r="L44" i="37"/>
  <c r="I44" i="37"/>
  <c r="C44" i="37"/>
  <c r="D44" i="37" s="1"/>
  <c r="P43" i="37"/>
  <c r="Q43" i="37" s="1"/>
  <c r="M43" i="37"/>
  <c r="L43" i="37"/>
  <c r="I43" i="37"/>
  <c r="C43" i="37"/>
  <c r="D43" i="37" s="1"/>
  <c r="P42" i="37"/>
  <c r="Q42" i="37" s="1"/>
  <c r="M42" i="37"/>
  <c r="L42" i="37"/>
  <c r="I42" i="37"/>
  <c r="C42" i="37"/>
  <c r="F42" i="37" s="1" a="1"/>
  <c r="F42" i="37" s="1"/>
  <c r="P41" i="37"/>
  <c r="Q41" i="37" s="1"/>
  <c r="M41" i="37"/>
  <c r="L41" i="37"/>
  <c r="I41" i="37"/>
  <c r="C41" i="37"/>
  <c r="F41" i="37" s="1" a="1"/>
  <c r="F41" i="37" s="1"/>
  <c r="Q40" i="37"/>
  <c r="P40" i="37"/>
  <c r="M40" i="37"/>
  <c r="L40" i="37"/>
  <c r="I40" i="37"/>
  <c r="C40" i="37"/>
  <c r="D40" i="37" s="1"/>
  <c r="P39" i="37"/>
  <c r="Q39" i="37" s="1"/>
  <c r="M39" i="37"/>
  <c r="L39" i="37"/>
  <c r="I39" i="37"/>
  <c r="F39" i="37" a="1"/>
  <c r="F39" i="37" s="1"/>
  <c r="D39" i="37"/>
  <c r="C39" i="37"/>
  <c r="P38" i="37"/>
  <c r="Q38" i="37" s="1"/>
  <c r="M38" i="37"/>
  <c r="L38" i="37"/>
  <c r="I38" i="37"/>
  <c r="F38" i="37" a="1"/>
  <c r="F38" i="37" s="1"/>
  <c r="D38" i="37"/>
  <c r="C38" i="37"/>
  <c r="P37" i="37"/>
  <c r="Q37" i="37" s="1"/>
  <c r="M37" i="37"/>
  <c r="L37" i="37"/>
  <c r="I37" i="37"/>
  <c r="C37" i="37"/>
  <c r="F37" i="37" s="1" a="1"/>
  <c r="F37" i="37" s="1"/>
  <c r="P36" i="37"/>
  <c r="Q36" i="37" s="1"/>
  <c r="M36" i="37"/>
  <c r="L36" i="37"/>
  <c r="I36" i="37"/>
  <c r="C36" i="37"/>
  <c r="F36" i="37" s="1" a="1"/>
  <c r="F36" i="37" s="1"/>
  <c r="Q35" i="37"/>
  <c r="P35" i="37"/>
  <c r="M35" i="37"/>
  <c r="L35" i="37"/>
  <c r="I35" i="37"/>
  <c r="C35" i="37"/>
  <c r="F35" i="37" s="1" a="1"/>
  <c r="F35" i="37" s="1"/>
  <c r="P34" i="37"/>
  <c r="Q34" i="37" s="1"/>
  <c r="M34" i="37"/>
  <c r="L34" i="37"/>
  <c r="I34" i="37"/>
  <c r="C34" i="37"/>
  <c r="F34" i="37" s="1" a="1"/>
  <c r="F34" i="37" s="1"/>
  <c r="B18" i="24"/>
  <c r="B17" i="24"/>
  <c r="D42" i="37" l="1"/>
  <c r="D90" i="37"/>
  <c r="D94" i="37"/>
  <c r="F73" i="37" a="1"/>
  <c r="F73" i="37" s="1"/>
  <c r="F49" i="37" a="1"/>
  <c r="F49" i="37" s="1"/>
  <c r="F65" i="37" a="1"/>
  <c r="F65" i="37" s="1"/>
  <c r="F81" i="37" a="1"/>
  <c r="F81" i="37" s="1"/>
  <c r="F98" i="37" a="1"/>
  <c r="F98" i="37" s="1"/>
  <c r="F57" i="37" a="1"/>
  <c r="F57" i="37" s="1"/>
  <c r="D34" i="37"/>
  <c r="F46" i="37" a="1"/>
  <c r="F46" i="37" s="1"/>
  <c r="F54" i="37" a="1"/>
  <c r="F54" i="37" s="1"/>
  <c r="F62" i="37" a="1"/>
  <c r="F62" i="37" s="1"/>
  <c r="F70" i="37" a="1"/>
  <c r="F70" i="37" s="1"/>
  <c r="F78" i="37" a="1"/>
  <c r="F78" i="37" s="1"/>
  <c r="D95" i="37"/>
  <c r="D100" i="37"/>
  <c r="D86" i="37"/>
  <c r="D97" i="37"/>
  <c r="F12" i="38" a="1"/>
  <c r="F12" i="38" s="1"/>
  <c r="D13" i="38"/>
  <c r="F20" i="38" a="1"/>
  <c r="F20" i="38" s="1"/>
  <c r="D21" i="38"/>
  <c r="F28" i="38" a="1"/>
  <c r="F28" i="38" s="1"/>
  <c r="D29" i="38"/>
  <c r="D37" i="38"/>
  <c r="D45" i="38"/>
  <c r="D53" i="38"/>
  <c r="D61" i="38"/>
  <c r="D69" i="38"/>
  <c r="D77" i="38"/>
  <c r="D85" i="38"/>
  <c r="D93" i="38"/>
  <c r="D11" i="38"/>
  <c r="D24" i="38"/>
  <c r="D40" i="38"/>
  <c r="D56" i="38"/>
  <c r="D64" i="38"/>
  <c r="D72" i="38"/>
  <c r="D80" i="38"/>
  <c r="D88" i="38"/>
  <c r="D96" i="38"/>
  <c r="D16" i="38"/>
  <c r="D32" i="38"/>
  <c r="D48" i="38"/>
  <c r="D35" i="37"/>
  <c r="D51" i="37"/>
  <c r="D83" i="37"/>
  <c r="D36" i="37"/>
  <c r="D52" i="37"/>
  <c r="F59" i="37" a="1"/>
  <c r="F59" i="37" s="1"/>
  <c r="D60" i="37"/>
  <c r="D84" i="37"/>
  <c r="F91" i="37" a="1"/>
  <c r="F91" i="37" s="1"/>
  <c r="D92" i="37"/>
  <c r="D37" i="37"/>
  <c r="F44" i="37" a="1"/>
  <c r="F44" i="37" s="1"/>
  <c r="D45" i="37"/>
  <c r="D53" i="37"/>
  <c r="D61" i="37"/>
  <c r="F68" i="37" a="1"/>
  <c r="F68" i="37" s="1"/>
  <c r="D69" i="37"/>
  <c r="F76" i="37" a="1"/>
  <c r="F76" i="37" s="1"/>
  <c r="D77" i="37"/>
  <c r="D85" i="37"/>
  <c r="D93" i="37"/>
  <c r="D101" i="37"/>
  <c r="F43" i="37" a="1"/>
  <c r="F43" i="37" s="1"/>
  <c r="F67" i="37" a="1"/>
  <c r="F67" i="37" s="1"/>
  <c r="F75" i="37" a="1"/>
  <c r="F75" i="37" s="1"/>
  <c r="D88" i="37"/>
  <c r="D96" i="37"/>
  <c r="D48" i="37"/>
  <c r="D56" i="37"/>
  <c r="D64" i="37"/>
  <c r="D72" i="37"/>
  <c r="D80" i="37"/>
  <c r="F40" i="37" a="1"/>
  <c r="F40" i="37" s="1"/>
  <c r="D41" i="37"/>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<sst xmlns="http://schemas.openxmlformats.org/spreadsheetml/2006/main" count="1550" uniqueCount="367">
  <si>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</si>
  <si>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</si>
  <si>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</si>
  <si>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</si>
  <si>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</si>
  <si>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</si>
  <si>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</si>
  <si>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</si>
  <si>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</si>
  <si>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</si>
  <si>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</si>
  <si>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</si>
  <si>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</si>
  <si>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</si>
  <si>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</si>
  <si>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</si>
  <si>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</si>
  <si>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</si>
  <si>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</si>
  <si>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</si>
  <si>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</si>
  <si>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</si>
  <si>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</si>
  <si>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</si>
  <si>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</si>
  <si>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</si>
  <si>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</si>
  <si>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</si>
  <si>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</si>
  <si>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</si>
  <si>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</si>
  <si>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</si>
  <si>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</si>
  <si>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</si>
  <si>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</si>
  <si>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</si>
  <si>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</si>
  <si>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</si>
  <si>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</si>
  <si>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</si>
  <si>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</si>
  <si>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</si>
  <si>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</si>
  <si>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</si>
  <si>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</si>
  <si>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</si>
  <si>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</si>
  <si>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</si>
  <si>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</si>
  <si>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</si>
  <si>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</si>
  <si>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</si>
  <si>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</si>
  <si>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</si>
  <si>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</si>
  <si>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</si>
  <si>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</si>
  <si>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</si>
  <si>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</si>
  <si>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</si>
  <si>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</si>
  <si>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</si>
  <si>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</si>
  <si>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</si>
  <si>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</si>
  <si>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</si>
  <si>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</si>
  <si>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</si>
  <si>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</si>
  <si>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</si>
  <si>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</si>
  <si>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</si>
  <si>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</si>
  <si>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</si>
  <si>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</si>
  <si>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</si>
  <si>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</si>
  <si>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</si>
  <si>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</si>
  <si>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</si>
  <si>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</si>
  <si>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</si>
  <si>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</si>
  <si>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</si>
  <si>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</si>
  <si>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</si>
  <si>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</si>
  <si>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</si>
  <si>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</si>
  <si>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</si>
  <si>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</si>
  <si>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</si>
  <si>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</si>
  <si>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</si>
  <si>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</si>
  <si>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</si>
  <si>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</si>
  <si>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</si>
  <si>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</si>
  <si>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</si>
  <si>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</si>
  <si>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</si>
  <si>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</si>
  <si>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</si>
  <si>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</si>
  <si>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</si>
  <si>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</si>
  <si>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</si>
  <si>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</si>
  <si>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</si>
  <si>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</si>
  <si>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</si>
  <si>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</si>
  <si>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</si>
  <si>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</si>
  <si>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</si>
  <si>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</si>
  <si>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</si>
  <si>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</si>
  <si>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</si>
  <si>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</si>
  <si>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</si>
  <si>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</si>
  <si>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</si>
  <si>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</si>
  <si>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</si>
  <si>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</si>
  <si>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</si>
  <si>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</si>
  <si>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</si>
  <si>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</si>
  <si>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</si>
  <si>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</si>
  <si>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</si>
  <si>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</si>
  <si>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</si>
  <si>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</si>
  <si>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</si>
  <si>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</si>
  <si>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</si>
  <si>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</si>
  <si>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</si>
  <si>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</si>
  <si>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</si>
  <si>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</si>
  <si>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</si>
  <si>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</si>
  <si>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</si>
  <si>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</si>
  <si>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</si>
  <si>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</si>
  <si>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</si>
  <si>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</si>
  <si>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</si>
  <si>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</si>
  <si>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</si>
  <si>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</si>
  <si>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</si>
  <si>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</si>
  <si>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</si>
  <si>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</si>
  <si>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</si>
  <si>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</si>
  <si>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</si>
  <si>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</si>
  <si>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</si>
  <si>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</si>
  <si>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</si>
  <si>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</si>
  <si>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</si>
  <si>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</si>
  <si>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</si>
  <si>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</si>
  <si>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</si>
  <si>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</si>
  <si>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</si>
  <si>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</si>
  <si>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</si>
  <si>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</si>
  <si>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</si>
  <si>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</si>
  <si>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</si>
  <si>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</si>
  <si>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</si>
  <si>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</si>
  <si>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</si>
  <si>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</si>
  <si>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</si>
  <si>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</si>
  <si>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</si>
  <si>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</si>
  <si>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</si>
  <si>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</si>
  <si>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</si>
  <si>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</si>
  <si>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</si>
  <si>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</si>
  <si>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</si>
  <si>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</si>
  <si>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</si>
  <si>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</si>
  <si>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</si>
  <si>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</si>
  <si>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</si>
  <si>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</si>
  <si>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</si>
  <si>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</si>
  <si>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</si>
  <si>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</si>
  <si>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</si>
  <si>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</si>
  <si>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</si>
  <si>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</si>
  <si>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</si>
  <si>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</si>
  <si>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</si>
  <si>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</si>
  <si>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</si>
  <si>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</si>
  <si>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</si>
  <si>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</si>
  <si>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</si>
  <si>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</si>
  <si>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</si>
  <si>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</si>
  <si>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</si>
  <si>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</si>
  <si>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</si>
  <si>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</si>
  <si>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</si>
  <si>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</si>
  <si>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</si>
  <si>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</si>
  <si>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</si>
  <si>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</si>
  <si>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</si>
  <si>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</si>
  <si>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</si>
  <si>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</si>
  <si>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</si>
  <si>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</si>
  <si>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</si>
  <si>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</si>
  <si>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</si>
  <si>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</si>
  <si>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</si>
  <si>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</si>
  <si>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</si>
  <si>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</si>
  <si>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</si>
  <si>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</si>
  <si>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</si>
  <si>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</si>
  <si>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</si>
  <si>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</si>
  <si>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</si>
  <si>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</si>
  <si>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</si>
  <si>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</si>
  <si>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</si>
  <si>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</si>
  <si>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</si>
  <si>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</si>
  <si>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</si>
  <si>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</si>
  <si>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</si>
  <si>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</si>
  <si>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</si>
  <si>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</si>
  <si>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</si>
  <si>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</si>
  <si>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</si>
  <si>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</si>
  <si>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</si>
  <si>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</si>
  <si>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</si>
  <si>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</si>
  <si>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</si>
  <si>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</si>
  <si>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</si>
  <si>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</si>
  <si>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</si>
  <si>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</si>
  <si>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</si>
  <si>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</si>
  <si>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</si>
  <si>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</si>
  <si>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</si>
  <si>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</si>
  <si>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</si>
  <si>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</si>
  <si>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</si>
  <si>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</si>
  <si>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</si>
  <si>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</si>
  <si>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</si>
  <si>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</si>
  <si>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</si>
  <si>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</si>
  <si>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</si>
  <si>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</si>
  <si>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</si>
  <si>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</si>
  <si>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</si>
  <si>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</si>
  <si>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</si>
  <si>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</si>
  <si>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</si>
  <si>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</si>
  <si>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</si>
  <si>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</si>
  <si>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</si>
  <si>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</si>
  <si>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</si>
  <si>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</si>
  <si>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</si>
  <si>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</si>
  <si>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</si>
  <si>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</si>
  <si>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</si>
  <si>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</si>
  <si>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</si>
  <si>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</si>
  <si>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</si>
  <si>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</si>
  <si>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</si>
  <si>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</si>
  <si>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</si>
  <si>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</si>
  <si>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</si>
  <si>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</si>
  <si>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</si>
  <si>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</si>
  <si>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</si>
  <si>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</si>
  <si>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</si>
  <si>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</si>
  <si>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</si>
  <si>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</si>
  <si>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</si>
  <si>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</si>
  <si>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</si>
  <si>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</si>
  <si>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</si>
  <si>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</si>
  <si>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</si>
  <si>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</si>
  <si>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</si>
  <si>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</si>
  <si>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</si>
  <si>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</si>
  <si>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</si>
  <si>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</si>
  <si>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</si>
  <si>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</si>
  <si>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</si>
  <si>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</si>
  <si>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</si>
  <si>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</si>
  <si>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</si>
  <si>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</si>
  <si>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</si>
  <si>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</si>
  <si>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$/mmBTU</t>
  </si>
  <si>
    <t>$/kg</t>
  </si>
  <si>
    <t>Fuel production</t>
  </si>
  <si>
    <t>Biogenic CO2 sequestration by BKA.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</si>
</sst>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DA06AA-323F-4D5A-9D39-234EF81B05D3}" name="Table13" displayName="Table13" ref="A5:T101" totalsRowShown="0" headerRowDxfId="45" dataDxfId="44" tableBorderDxfId="43" dataCellStyle="Percent">
  <autoFilter ref="A5:T101" xr:uid="{1644AED8-49DE-4A1D-989C-1566C9A522B9}"/>
  <tableColumns count="20">
    <tableColumn id="1" xr3:uid="{4D3FDA20-CD4E-4880-8A5E-0368D0E07C3A}" name="Type" dataDxfId="42"/>
    <tableColumn id="2" xr3:uid="{134B6E41-0DC2-463E-997F-94F64C81D6A1}" name="Category" dataDxfId="41"/>
    <tableColumn id="3" xr3:uid="{6B95AD89-1020-40DD-A76D-35B2C2AF2126}" name="Resource" dataDxfId="40">
      <calculatedColumnFormula>_xlfn.XLOOKUP($B6,'SI - Resources'!$A$1:$J$1,'SI - Resources'!$A$2:$J$2, "")</calculatedColumnFormula>
    </tableColumn>
    <tableColumn id="4" xr3:uid="{F351CF2B-97F8-4A93-8859-F09583BB524F}" name="End Use" dataDxfId="39">
      <calculatedColumnFormula>IF(_xlfn.XLOOKUP($C6,'SI - End Use'!$B$2:$B$6,'SI - End Use'!$C$2:$C$6, "")="", "", _xlfn.XLOOKUP($C6,'SI - End Use'!$B$2:$B$6,'SI - End Use'!$C$2:$C$6, ""))</calculatedColumnFormula>
    </tableColumn>
    <tableColumn id="5" xr3:uid="{E62E2F38-1ECE-4345-A290-240711939FEF}" name="Amount" dataDxfId="38" dataCellStyle="Comma"/>
    <tableColumn id="6" xr3:uid="{042CDCFF-AFDA-4E91-A6F2-E3F547DF184C}" name="Unit" dataDxfId="37">
      <calculatedColumnFormula array="1">IF($B6="Transportation",  'SI - Units'!$B$9:$B$9, _xlfn.XLOOKUP(_xlfn.XLOOKUP($C6,'SI - Units'!$B$24:$B$109,'SI - Units'!$C$24:$C$109, ""),'SI - Units'!$A$2:$A$8,'SI - Units'!$B$2:$B$8, ""))</calculatedColumnFormula>
    </tableColumn>
    <tableColumn id="7" xr3:uid="{CB917DF4-BA14-4957-9D3E-E0F3C62C6781}" name="Moisture" dataDxfId="36" dataCellStyle="Percent"/>
    <tableColumn id="8" xr3:uid="{9544980E-CACB-420B-8A50-5360EC33CEA0}" name="Previous Stage" dataDxfId="35" dataCellStyle="Percent"/>
    <tableColumn id="9" xr3:uid="{CA9EF501-9BC5-47FA-AE5D-C521C04977A1}" name="Always Use Displacement Method for Co-Product?" dataDxfId="34" dataCellStyle="Percent">
      <calculatedColumnFormula>IF(Table13[[#This Row],[Type]]="Co-product", "No", "")</calculatedColumnFormula>
    </tableColumn>
    <tableColumn id="19" xr3:uid="{0972DF32-9952-4F55-B95A-DDB90B6DB8C3}" name="Urban Share" dataDxfId="33" dataCellStyle="Percent"/>
    <tableColumn id="10" xr3:uid="{1927D74C-D8FA-4511-AF0F-3A72A27336FC}" name="Product Train" dataDxfId="32"/>
    <tableColumn id="14" xr3:uid="{CFA224ED-EFF4-4E1D-A548-C21BF740B7FA}" name="Payload" dataDxfId="31">
      <calculatedColumnFormula>IF(Table13[[#This Row],[Category]]="Transportation", _xlfn.XLOOKUP(Table13[[#This Row],[Resource]], 'SI - Payload'!$A$10:$A$40,'SI - Payload'!$B$10:$B$40,"",0), "")</calculatedColumnFormula>
    </tableColumn>
    <tableColumn id="15" xr3:uid="{D1B138B8-001E-4355-935D-521DFE5D5B2A}" name="Payload Unit" dataDxfId="30">
      <calculatedColumnFormula>IF(Table13[[#This Row],[Category]]="Transportation", "ton", "")</calculatedColumnFormula>
    </tableColumn>
    <tableColumn id="16" xr3:uid="{ED87E621-7414-4F91-9E7F-05926BE85BD8}" name="Market Price" dataDxfId="29"/>
    <tableColumn id="17" xr3:uid="{37416807-6253-4CF0-A4B5-11B7504DBFEB}" name="Market Price Unit" dataDxfId="28"/>
    <tableColumn id="12" xr3:uid="{0A4A6F3E-2453-4306-BC7C-10829FE4C550}" name="Incumbent Product" dataDxfId="27">
      <calculatedColumnFormula>IF(OR(Table13[[#This Row],[Type]]="Main Product", Table13[[#This Row],[Type]]="Co-Product"), Table13[[#This Row],[Resource]], "")</calculatedColumnFormula>
    </tableColumn>
    <tableColumn id="13" xr3:uid="{D68281E9-C171-4B33-979D-8B01236545D8}" name="End Use of Incumbent Product" dataDxfId="26">
      <calculatedColumnFormula>IF(_xlfn.XLOOKUP($P6,'SI - End Use'!$B$2:$B$6,'SI - End Use'!$C$2:$C$6, "")="", "", _xlfn.XLOOKUP($C6,'SI - End Use'!$B$2:$B$6,'SI - End Use'!$C$2:$C$6, ""))</calculatedColumnFormula>
    </tableColumn>
    <tableColumn id="20" xr3:uid="{D047AFE5-CF83-418C-93DF-D7534BE7B79B}" name="Surrogate For" dataDxfId="25"/>
    <tableColumn id="18" xr3:uid="{37A5C27E-BF45-4E19-BA87-4719F0135D94}" name="Process" dataDxfId="24"/>
    <tableColumn id="11" xr3:uid="{0C0D7471-FD87-400E-9657-7072FB5859D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63C1EF-43EA-4545-B384-84989EFABE27}" name="Table16" displayName="Table16" ref="A5:T100" totalsRowShown="0" headerRowDxfId="22" dataDxfId="21" tableBorderDxfId="20" dataCellStyle="Percent">
  <autoFilter ref="A5:T100" xr:uid="{1644AED8-49DE-4A1D-989C-1566C9A522B9}"/>
  <tableColumns count="20">
    <tableColumn id="1" xr3:uid="{174EFB65-A008-4FD4-8FEB-88E3CB547CE2}" name="Type" dataDxfId="19"/>
    <tableColumn id="2" xr3:uid="{DD305101-C25A-406A-9E96-2F6A186DF975}" name="Category" dataDxfId="18"/>
    <tableColumn id="3" xr3:uid="{640AB70D-07CD-4B5A-9CFB-47F9A1006566}" name="Resource" dataDxfId="17">
      <calculatedColumnFormula>_xlfn.XLOOKUP($B6,'SI - Resources'!$A$1:$J$1,'SI - Resources'!$A$2:$J$2, "")</calculatedColumnFormula>
    </tableColumn>
    <tableColumn id="4" xr3:uid="{98ACA83B-0BD5-4458-A803-5EA949BDD1A9}" name="End Use" dataDxfId="16">
      <calculatedColumnFormula>IF(_xlfn.XLOOKUP($C6,'SI - End Use'!$B$2:$B$6,'SI - End Use'!$C$2:$C$6, "")="", "", _xlfn.XLOOKUP($C6,'SI - End Use'!$B$2:$B$6,'SI - End Use'!$C$2:$C$6, ""))</calculatedColumnFormula>
    </tableColumn>
    <tableColumn id="5" xr3:uid="{7DD588EE-41F2-4865-BB36-485595B4FEB8}" name="Amount" dataDxfId="15" dataCellStyle="Comma"/>
    <tableColumn id="6" xr3:uid="{44086C19-4888-46F0-8C9F-02839D2857DE}" name="Unit" dataDxfId="14">
      <calculatedColumnFormula array="1">IF($B6="Transportation",  'SI - Units'!$B$9:$B$9, _xlfn.XLOOKUP(_xlfn.XLOOKUP($C6,'SI - Units'!$B$24:$B$109,'SI - Units'!$C$24:$C$109, ""),'SI - Units'!$A$2:$A$8,'SI - Units'!$B$2:$B$8, ""))</calculatedColumnFormula>
    </tableColumn>
    <tableColumn id="7" xr3:uid="{54B6D015-D213-4674-BE8E-E7DBFAD05162}" name="Moisture" dataDxfId="13" dataCellStyle="Percent"/>
    <tableColumn id="8" xr3:uid="{A2F4A9A6-9C20-4446-9551-28444B819509}" name="Previous Stage" dataDxfId="12" dataCellStyle="Percent"/>
    <tableColumn id="9" xr3:uid="{5311759B-A125-48C2-97CF-1A655BEC8471}" name="Always Use Displacement Method for Co-Product?" dataDxfId="11" dataCellStyle="Percent">
      <calculatedColumnFormula>IF(Table16[[#This Row],[Type]]="Co-product", "No", "")</calculatedColumnFormula>
    </tableColumn>
    <tableColumn id="19" xr3:uid="{85F70A9C-B4B1-4B85-A34E-2FE4F45D5580}" name="Urban Share" dataDxfId="10" dataCellStyle="Percent"/>
    <tableColumn id="10" xr3:uid="{0C62D344-8835-495A-95EE-BE7085E87B05}" name="Product Train" dataDxfId="9"/>
    <tableColumn id="14" xr3:uid="{B540A90C-2667-409E-B23A-5C8C35ACF4B9}" name="Payload" dataDxfId="8">
      <calculatedColumnFormula>IF(Table16[[#This Row],[Category]]="Transportation", _xlfn.XLOOKUP(Table16[[#This Row],[Resource]], 'SI - Payload'!$A$10:$A$40,'SI - Payload'!$B$10:$B$40,"",0), "")</calculatedColumnFormula>
    </tableColumn>
    <tableColumn id="15" xr3:uid="{4AA05644-2D0D-48F0-BB84-1A1EF5CBEB45}" name="Payload Unit" dataDxfId="7">
      <calculatedColumnFormula>IF(Table16[[#This Row],[Category]]="Transportation", "ton", "")</calculatedColumnFormula>
    </tableColumn>
    <tableColumn id="16" xr3:uid="{85C8F61B-258F-48E0-8A34-0E2A9979E2FD}" name="Market Price" dataDxfId="6"/>
    <tableColumn id="17" xr3:uid="{DCD4D218-526D-4BE6-8D73-2E82B5F2D94D}" name="Market Price Unit" dataDxfId="5"/>
    <tableColumn id="12" xr3:uid="{C4D157E9-64BE-45CC-9F8B-F6BF629825EA}" name="Incumbent Product" dataDxfId="4">
      <calculatedColumnFormula>IF(OR(Table16[[#This Row],[Type]]="Main Product", Table16[[#This Row],[Type]]="Co-Product"), Table16[[#This Row],[Resource]], "")</calculatedColumnFormula>
    </tableColumn>
    <tableColumn id="13" xr3:uid="{462DF6D4-0735-46F9-B92E-F6447F96FD2E}" name="End Use of Incumbent Product" dataDxfId="3">
      <calculatedColumnFormula>IF(_xlfn.XLOOKUP($P6,'SI - End Use'!$B$2:$B$6,'SI - End Use'!$C$2:$C$6, "")="", "", _xlfn.XLOOKUP($C6,'SI - End Use'!$B$2:$B$6,'SI - End Use'!$C$2:$C$6, ""))</calculatedColumnFormula>
    </tableColumn>
    <tableColumn id="20" xr3:uid="{5CC5F02F-6312-4056-ACAA-B7CCAC2E44BF}" name="Surrogate For" dataDxfId="2"/>
    <tableColumn id="18" xr3:uid="{85F5BFEC-2519-43F1-B762-2B36B752F25C}" name="Process" dataDxfId="1"/>
    <tableColumn id="11" xr3:uid="{7D20A1BD-04C4-4329-9C39-9E3F70D177DA}"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7" t="s">
        <v>261</v>
      </c>
      <c r="B2" s="77"/>
    </row>
    <row r="3" spans="1:3" ht="29.1" customHeight="1" x14ac:dyDescent="0.25">
      <c r="A3" s="79" t="s">
        <v>274</v>
      </c>
      <c r="B3" s="79"/>
    </row>
    <row r="4" spans="1:3" ht="27.95" customHeight="1" x14ac:dyDescent="0.25">
      <c r="A4" s="19"/>
      <c r="B4" s="19"/>
    </row>
    <row r="5" spans="1:3" ht="27.95" customHeight="1" x14ac:dyDescent="0.25">
      <c r="A5" s="78" t="s">
        <v>260</v>
      </c>
      <c r="B5" s="78"/>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s="50" t="s">
        <v>312</v>
      </c>
      <c r="B17" s="50">
        <f>W6</f>
        <v>0</v>
      </c>
    </row>
    <row r="18" spans="1:2" x14ac:dyDescent="0.25">
      <c r="A18" s="50" t="s">
        <v>313</v>
      </c>
      <c r="B18" s="50">
        <f>W6</f>
        <v>0</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71</v>
      </c>
      <c r="J4" t="s">
        <v>220</v>
      </c>
      <c r="R4" t="s">
        <v>3</v>
      </c>
      <c r="S4" t="s">
        <v>323</v>
      </c>
    </row>
    <row r="5" spans="1:19" x14ac:dyDescent="0.25">
      <c r="C5" s="1" t="s">
        <v>309</v>
      </c>
      <c r="D5" s="1"/>
      <c r="E5" s="1" t="s">
        <v>36</v>
      </c>
      <c r="G5" t="s">
        <v>286</v>
      </c>
      <c r="H5" t="s">
        <v>276</v>
      </c>
      <c r="J5" t="s">
        <v>221</v>
      </c>
      <c r="R5" t="s">
        <v>37</v>
      </c>
      <c r="S5" t="s">
        <v>327</v>
      </c>
    </row>
    <row r="6" spans="1:19" x14ac:dyDescent="0.25">
      <c r="C6" t="s">
        <v>71</v>
      </c>
      <c r="E6" s="1" t="s">
        <v>13</v>
      </c>
      <c r="H6" t="s">
        <v>277</v>
      </c>
      <c r="J6" t="s">
        <v>222</v>
      </c>
      <c r="R6" t="s">
        <v>29</v>
      </c>
      <c r="S6" t="s">
        <v>324</v>
      </c>
    </row>
    <row r="7" spans="1:19" x14ac:dyDescent="0.25">
      <c r="C7" t="s">
        <v>276</v>
      </c>
      <c r="E7" s="1" t="s">
        <v>235</v>
      </c>
      <c r="H7" t="s">
        <v>312</v>
      </c>
      <c r="J7" t="s">
        <v>223</v>
      </c>
      <c r="R7" t="s">
        <v>282</v>
      </c>
      <c r="S7" t="s">
        <v>328</v>
      </c>
    </row>
    <row r="8" spans="1:19" x14ac:dyDescent="0.25">
      <c r="C8" t="s">
        <v>277</v>
      </c>
      <c r="E8" s="1" t="s">
        <v>25</v>
      </c>
      <c r="H8" t="s">
        <v>313</v>
      </c>
      <c r="J8" t="s">
        <v>224</v>
      </c>
      <c r="R8" t="s">
        <v>33</v>
      </c>
      <c r="S8" t="s">
        <v>333</v>
      </c>
    </row>
    <row r="9" spans="1:19" x14ac:dyDescent="0.25">
      <c r="C9" t="s">
        <v>312</v>
      </c>
      <c r="E9" s="1" t="s">
        <v>279</v>
      </c>
      <c r="H9" t="s">
        <v>243</v>
      </c>
      <c r="J9" t="s">
        <v>225</v>
      </c>
      <c r="R9" t="s">
        <v>217</v>
      </c>
      <c r="S9" t="s">
        <v>325</v>
      </c>
    </row>
    <row r="10" spans="1:19" x14ac:dyDescent="0.25">
      <c r="C10" t="s">
        <v>313</v>
      </c>
      <c r="E10" s="1" t="s">
        <v>15</v>
      </c>
      <c r="H10" t="s">
        <v>288</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C1" sqref="C1"/>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5" x14ac:dyDescent="0.25"/>
  <cols>
    <col min="1" max="1" width="20.5703125" bestFit="1" customWidth="1"/>
    <col min="8" max="8" width="14.140625" bestFit="1" customWidth="1"/>
  </cols>
  <sheetData>
    <row r="1" spans="1:8" x14ac:dyDescent="0.25">
      <c r="A1" s="61"/>
      <c r="B1" s="81" t="s">
        <v>338</v>
      </c>
      <c r="C1" s="81"/>
      <c r="D1" s="62" t="s">
        <v>339</v>
      </c>
      <c r="E1" s="62" t="s">
        <v>340</v>
      </c>
      <c r="F1" s="62" t="s">
        <v>341</v>
      </c>
      <c r="G1" s="62" t="s">
        <v>342</v>
      </c>
      <c r="H1" s="62" t="s">
        <v>343</v>
      </c>
    </row>
    <row r="2" spans="1:8" x14ac:dyDescent="0.25">
      <c r="A2" s="62" t="s">
        <v>344</v>
      </c>
      <c r="B2" s="80">
        <v>89.04</v>
      </c>
      <c r="C2" s="80"/>
      <c r="D2" s="64">
        <v>1</v>
      </c>
      <c r="E2" s="63"/>
      <c r="F2" s="63"/>
      <c r="G2" s="65">
        <v>0.3</v>
      </c>
      <c r="H2" s="65">
        <v>0</v>
      </c>
    </row>
    <row r="3" spans="1:8" x14ac:dyDescent="0.25">
      <c r="A3" s="62" t="s">
        <v>345</v>
      </c>
      <c r="B3" s="82">
        <v>23.19</v>
      </c>
      <c r="C3" s="83"/>
      <c r="D3" s="66"/>
      <c r="E3" s="67">
        <v>1</v>
      </c>
      <c r="F3" s="66"/>
      <c r="G3" s="68">
        <v>0.2</v>
      </c>
      <c r="H3" s="68">
        <v>8.7999999999999995E-2</v>
      </c>
    </row>
    <row r="4" spans="1:8" x14ac:dyDescent="0.25">
      <c r="A4" s="62"/>
      <c r="B4" s="63"/>
      <c r="C4" s="63"/>
      <c r="D4" s="63"/>
      <c r="E4" s="63"/>
      <c r="F4" s="63"/>
      <c r="G4" s="63"/>
      <c r="H4" s="63"/>
    </row>
    <row r="5" spans="1:8" x14ac:dyDescent="0.25">
      <c r="A5" s="62"/>
      <c r="B5" s="69" t="s">
        <v>346</v>
      </c>
      <c r="C5" s="69" t="s">
        <v>347</v>
      </c>
      <c r="D5" s="69" t="s">
        <v>339</v>
      </c>
      <c r="E5" s="69" t="s">
        <v>340</v>
      </c>
      <c r="F5" s="69" t="s">
        <v>341</v>
      </c>
      <c r="G5" s="69" t="s">
        <v>342</v>
      </c>
      <c r="H5" s="62" t="s">
        <v>343</v>
      </c>
    </row>
    <row r="6" spans="1:8" x14ac:dyDescent="0.25">
      <c r="A6" s="62" t="s">
        <v>348</v>
      </c>
      <c r="B6" s="70">
        <v>34.840000000000003</v>
      </c>
      <c r="C6" s="63">
        <v>17.684999999999999</v>
      </c>
      <c r="D6" s="64">
        <v>1</v>
      </c>
      <c r="E6" s="66"/>
      <c r="F6" s="66"/>
      <c r="G6" s="71">
        <v>0.2</v>
      </c>
      <c r="H6" s="71">
        <v>0</v>
      </c>
    </row>
    <row r="7" spans="1:8" x14ac:dyDescent="0.25">
      <c r="A7" s="61"/>
      <c r="B7" s="63"/>
      <c r="C7" s="64"/>
      <c r="D7" s="64"/>
      <c r="E7" s="63"/>
      <c r="F7" s="63"/>
      <c r="G7" s="63"/>
      <c r="H7" s="63"/>
    </row>
    <row r="8" spans="1:8" x14ac:dyDescent="0.25">
      <c r="A8" s="61"/>
      <c r="B8" s="84" t="s">
        <v>349</v>
      </c>
      <c r="C8" s="84"/>
      <c r="D8" s="69" t="s">
        <v>339</v>
      </c>
      <c r="E8" s="69" t="s">
        <v>340</v>
      </c>
      <c r="F8" s="69" t="s">
        <v>341</v>
      </c>
      <c r="G8" s="69" t="s">
        <v>342</v>
      </c>
      <c r="H8" s="62" t="s">
        <v>343</v>
      </c>
    </row>
    <row r="9" spans="1:8" x14ac:dyDescent="0.25">
      <c r="A9" s="62" t="s">
        <v>350</v>
      </c>
      <c r="B9" s="80">
        <v>10.92</v>
      </c>
      <c r="C9" s="80"/>
      <c r="D9" s="63"/>
      <c r="E9" s="64">
        <v>1</v>
      </c>
      <c r="F9" s="63"/>
      <c r="G9" s="71">
        <v>0.11409999999999999</v>
      </c>
      <c r="H9" s="71">
        <v>8.1557678177810455E-2</v>
      </c>
    </row>
    <row r="10" spans="1:8" x14ac:dyDescent="0.25">
      <c r="A10" s="62" t="s">
        <v>351</v>
      </c>
      <c r="B10" s="80">
        <v>289.14999999999998</v>
      </c>
      <c r="C10" s="80"/>
      <c r="D10" s="63"/>
      <c r="E10" s="64">
        <v>1</v>
      </c>
      <c r="F10" s="63"/>
      <c r="G10" s="71">
        <v>0.11409999999999999</v>
      </c>
      <c r="H10" s="71">
        <v>0.02</v>
      </c>
    </row>
    <row r="11" spans="1:8" x14ac:dyDescent="0.25">
      <c r="A11" s="62" t="s">
        <v>352</v>
      </c>
      <c r="B11" s="80">
        <v>7.72</v>
      </c>
      <c r="C11" s="80"/>
      <c r="D11" s="72">
        <v>0.89500000000000002</v>
      </c>
      <c r="E11" s="72">
        <f>1-D11</f>
        <v>0.10499999999999998</v>
      </c>
      <c r="F11" s="63"/>
      <c r="G11" s="71">
        <v>0.11409999999999999</v>
      </c>
      <c r="H11" s="71">
        <v>0</v>
      </c>
    </row>
    <row r="12" spans="1:8" x14ac:dyDescent="0.25">
      <c r="A12" s="62" t="s">
        <v>353</v>
      </c>
      <c r="B12" s="80">
        <v>0</v>
      </c>
      <c r="C12" s="80"/>
      <c r="D12" s="63"/>
      <c r="E12" s="64">
        <v>1</v>
      </c>
      <c r="F12" s="63"/>
      <c r="G12" s="71">
        <v>0.11409999999999999</v>
      </c>
      <c r="H12" s="71">
        <v>0</v>
      </c>
    </row>
    <row r="13" spans="1:8" x14ac:dyDescent="0.25">
      <c r="A13" s="61"/>
      <c r="B13" s="63"/>
      <c r="C13" s="63"/>
      <c r="D13" s="63"/>
      <c r="E13" s="63"/>
      <c r="F13" s="63"/>
      <c r="G13" s="63"/>
      <c r="H13" s="63"/>
    </row>
    <row r="14" spans="1:8" x14ac:dyDescent="0.25">
      <c r="A14" s="62"/>
      <c r="B14" s="69" t="s">
        <v>346</v>
      </c>
      <c r="C14" s="69" t="s">
        <v>347</v>
      </c>
      <c r="D14" s="69" t="s">
        <v>339</v>
      </c>
      <c r="E14" s="69" t="s">
        <v>340</v>
      </c>
      <c r="F14" s="69" t="s">
        <v>341</v>
      </c>
      <c r="G14" s="69" t="s">
        <v>342</v>
      </c>
      <c r="H14" s="62" t="s">
        <v>343</v>
      </c>
    </row>
    <row r="15" spans="1:8" x14ac:dyDescent="0.2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B13BD-C3A1-49F0-85A0-4C52BBC08D42}">
  <sheetPr codeName="Sheet18"/>
  <dimension ref="A1:T101"/>
  <sheetViews>
    <sheetView tabSelected="1" workbookViewId="0">
      <pane ySplit="5" topLeftCell="A11" activePane="bottomLeft" state="frozen"/>
      <selection activeCell="C19" sqref="C19"/>
      <selection pane="bottomLeft" activeCell="D31" sqref="D31"/>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c r="E6" s="12">
        <v>104166.667</v>
      </c>
      <c r="F6" s="6" t="s">
        <v>58</v>
      </c>
      <c r="G6" s="25">
        <v>0.2</v>
      </c>
      <c r="H6" s="25" t="s">
        <v>361</v>
      </c>
      <c r="I6" s="26" t="s">
        <v>337</v>
      </c>
      <c r="J6" s="25"/>
      <c r="K6" s="6" t="s">
        <v>86</v>
      </c>
      <c r="L6" s="6" t="s">
        <v>337</v>
      </c>
      <c r="M6" s="6" t="s">
        <v>337</v>
      </c>
      <c r="N6" s="6"/>
      <c r="O6" s="6"/>
      <c r="P6" s="6" t="s">
        <v>337</v>
      </c>
      <c r="Q6" s="6" t="s">
        <v>337</v>
      </c>
      <c r="R6" s="6"/>
      <c r="S6" s="6"/>
      <c r="T6" s="6"/>
    </row>
    <row r="7" spans="1:20" x14ac:dyDescent="0.25">
      <c r="A7" s="6" t="s">
        <v>0</v>
      </c>
      <c r="B7" s="6" t="s">
        <v>37</v>
      </c>
      <c r="C7" s="6" t="s">
        <v>106</v>
      </c>
      <c r="D7" s="6"/>
      <c r="E7" s="12">
        <v>10521.436400000001</v>
      </c>
      <c r="F7" s="6" t="s">
        <v>58</v>
      </c>
      <c r="G7" s="25">
        <v>7.0000000000000007E-2</v>
      </c>
      <c r="H7" s="25"/>
      <c r="I7" s="26" t="s">
        <v>337</v>
      </c>
      <c r="J7" s="25"/>
      <c r="K7" s="6" t="s">
        <v>85</v>
      </c>
      <c r="L7" s="6" t="s">
        <v>337</v>
      </c>
      <c r="M7" s="6" t="s">
        <v>337</v>
      </c>
      <c r="N7" s="6"/>
      <c r="O7" s="6"/>
      <c r="P7" s="6" t="s">
        <v>337</v>
      </c>
      <c r="Q7" s="6" t="s">
        <v>337</v>
      </c>
      <c r="R7" s="6"/>
      <c r="S7" s="6"/>
      <c r="T7" s="6"/>
    </row>
    <row r="8" spans="1:20" x14ac:dyDescent="0.25">
      <c r="A8" s="6" t="s">
        <v>0</v>
      </c>
      <c r="B8" s="6" t="s">
        <v>37</v>
      </c>
      <c r="C8" s="6" t="s">
        <v>13</v>
      </c>
      <c r="D8" s="6"/>
      <c r="E8" s="12">
        <v>1582</v>
      </c>
      <c r="F8" s="6" t="s">
        <v>58</v>
      </c>
      <c r="G8" s="25"/>
      <c r="H8" s="25"/>
      <c r="I8" s="26" t="s">
        <v>337</v>
      </c>
      <c r="J8" s="25"/>
      <c r="K8" s="6" t="s">
        <v>85</v>
      </c>
      <c r="L8" s="6" t="s">
        <v>337</v>
      </c>
      <c r="M8" s="6" t="s">
        <v>337</v>
      </c>
      <c r="N8" s="6"/>
      <c r="O8" s="6"/>
      <c r="P8" s="6" t="s">
        <v>337</v>
      </c>
      <c r="Q8" s="6" t="s">
        <v>337</v>
      </c>
      <c r="R8" s="6"/>
      <c r="S8" s="6"/>
      <c r="T8" s="6"/>
    </row>
    <row r="9" spans="1:20" x14ac:dyDescent="0.25">
      <c r="A9" s="6" t="s">
        <v>0</v>
      </c>
      <c r="B9" s="6" t="s">
        <v>37</v>
      </c>
      <c r="C9" s="6" t="s">
        <v>13</v>
      </c>
      <c r="D9" s="6" t="s">
        <v>337</v>
      </c>
      <c r="E9" s="12">
        <v>2000</v>
      </c>
      <c r="F9" s="6" t="s">
        <v>58</v>
      </c>
      <c r="G9" s="25"/>
      <c r="H9" s="25"/>
      <c r="I9" s="26" t="s">
        <v>337</v>
      </c>
      <c r="J9" s="25"/>
      <c r="K9" s="6" t="s">
        <v>86</v>
      </c>
      <c r="L9" s="6" t="s">
        <v>337</v>
      </c>
      <c r="M9" s="6" t="s">
        <v>337</v>
      </c>
      <c r="N9" s="6"/>
      <c r="O9" s="6"/>
      <c r="P9" s="6" t="s">
        <v>337</v>
      </c>
      <c r="Q9" s="6" t="s">
        <v>337</v>
      </c>
      <c r="R9" s="6"/>
      <c r="S9" s="6"/>
      <c r="T9" s="6"/>
    </row>
    <row r="10" spans="1:20" x14ac:dyDescent="0.25">
      <c r="A10" s="6" t="s">
        <v>0</v>
      </c>
      <c r="B10" s="6" t="s">
        <v>37</v>
      </c>
      <c r="C10" s="6" t="s">
        <v>26</v>
      </c>
      <c r="D10" s="6" t="s">
        <v>362</v>
      </c>
      <c r="E10" s="12">
        <v>6666.6666699999996</v>
      </c>
      <c r="F10" s="6" t="s">
        <v>58</v>
      </c>
      <c r="G10" s="25"/>
      <c r="H10" s="25"/>
      <c r="I10" s="26" t="s">
        <v>337</v>
      </c>
      <c r="J10" s="25"/>
      <c r="K10" s="6" t="s">
        <v>86</v>
      </c>
      <c r="L10" s="6" t="s">
        <v>337</v>
      </c>
      <c r="M10" s="6" t="s">
        <v>337</v>
      </c>
      <c r="N10" s="6"/>
      <c r="O10" s="6"/>
      <c r="P10" s="6" t="s">
        <v>337</v>
      </c>
      <c r="Q10" s="6" t="s">
        <v>337</v>
      </c>
      <c r="R10" s="6"/>
      <c r="S10" s="6"/>
      <c r="T10" s="6"/>
    </row>
    <row r="11" spans="1:20" x14ac:dyDescent="0.25">
      <c r="A11" s="6" t="s">
        <v>0</v>
      </c>
      <c r="B11" s="6" t="s">
        <v>37</v>
      </c>
      <c r="C11" s="6" t="s">
        <v>14</v>
      </c>
      <c r="D11" s="6" t="s">
        <v>337</v>
      </c>
      <c r="E11" s="12">
        <v>62</v>
      </c>
      <c r="F11" s="6" t="s">
        <v>58</v>
      </c>
      <c r="G11" s="25"/>
      <c r="H11" s="25"/>
      <c r="I11" s="26" t="s">
        <v>337</v>
      </c>
      <c r="J11" s="25"/>
      <c r="K11" s="6" t="s">
        <v>113</v>
      </c>
      <c r="L11" s="6" t="s">
        <v>337</v>
      </c>
      <c r="M11" s="6" t="s">
        <v>337</v>
      </c>
      <c r="N11" s="6"/>
      <c r="O11" s="6"/>
      <c r="P11" s="6" t="s">
        <v>337</v>
      </c>
      <c r="Q11" s="6" t="s">
        <v>337</v>
      </c>
      <c r="R11" s="6"/>
      <c r="S11" s="6"/>
      <c r="T11" s="6"/>
    </row>
    <row r="12" spans="1:20" x14ac:dyDescent="0.25">
      <c r="A12" s="6" t="s">
        <v>0</v>
      </c>
      <c r="B12" s="6" t="s">
        <v>37</v>
      </c>
      <c r="C12" s="6" t="s">
        <v>14</v>
      </c>
      <c r="D12" s="6" t="s">
        <v>337</v>
      </c>
      <c r="E12" s="12">
        <v>17</v>
      </c>
      <c r="F12" s="6" t="s">
        <v>58</v>
      </c>
      <c r="G12" s="25"/>
      <c r="H12" s="25"/>
      <c r="I12" s="26" t="s">
        <v>337</v>
      </c>
      <c r="J12" s="25"/>
      <c r="K12" s="6" t="s">
        <v>85</v>
      </c>
      <c r="L12" s="6" t="s">
        <v>337</v>
      </c>
      <c r="M12" s="6" t="s">
        <v>337</v>
      </c>
      <c r="N12" s="6"/>
      <c r="O12" s="6"/>
      <c r="P12" s="6" t="s">
        <v>337</v>
      </c>
      <c r="Q12" s="6" t="s">
        <v>337</v>
      </c>
      <c r="R12" s="6"/>
      <c r="S12" s="6"/>
      <c r="T12" s="6"/>
    </row>
    <row r="13" spans="1:20" x14ac:dyDescent="0.25">
      <c r="A13" s="6" t="s">
        <v>0</v>
      </c>
      <c r="B13" s="6" t="s">
        <v>37</v>
      </c>
      <c r="C13" s="6" t="s">
        <v>14</v>
      </c>
      <c r="D13" s="6" t="s">
        <v>337</v>
      </c>
      <c r="E13" s="12">
        <v>2110.0486116671268</v>
      </c>
      <c r="F13" s="6" t="s">
        <v>58</v>
      </c>
      <c r="G13" s="25"/>
      <c r="H13" s="25"/>
      <c r="I13" s="26" t="s">
        <v>337</v>
      </c>
      <c r="J13" s="25"/>
      <c r="K13" s="6" t="s">
        <v>86</v>
      </c>
      <c r="L13" s="6" t="s">
        <v>337</v>
      </c>
      <c r="M13" s="6" t="s">
        <v>337</v>
      </c>
      <c r="N13" s="6"/>
      <c r="O13" s="6"/>
      <c r="P13" s="6" t="s">
        <v>337</v>
      </c>
      <c r="Q13" s="6" t="s">
        <v>337</v>
      </c>
      <c r="R13" s="6"/>
      <c r="S13" s="6"/>
      <c r="T13" s="6"/>
    </row>
    <row r="14" spans="1:20" x14ac:dyDescent="0.25">
      <c r="A14" s="6" t="s">
        <v>0</v>
      </c>
      <c r="B14" s="6" t="s">
        <v>37</v>
      </c>
      <c r="C14" s="6" t="s">
        <v>19</v>
      </c>
      <c r="D14" s="6" t="s">
        <v>337</v>
      </c>
      <c r="E14" s="12">
        <v>1311.6449</v>
      </c>
      <c r="F14" s="6" t="s">
        <v>58</v>
      </c>
      <c r="G14" s="25"/>
      <c r="H14" s="25"/>
      <c r="I14" s="26" t="s">
        <v>337</v>
      </c>
      <c r="J14" s="25"/>
      <c r="K14" s="6" t="s">
        <v>113</v>
      </c>
      <c r="L14" s="6" t="s">
        <v>337</v>
      </c>
      <c r="M14" s="6" t="s">
        <v>337</v>
      </c>
      <c r="N14" s="6"/>
      <c r="O14" s="6"/>
      <c r="P14" s="6" t="s">
        <v>337</v>
      </c>
      <c r="Q14" s="6" t="s">
        <v>337</v>
      </c>
      <c r="R14" s="6"/>
      <c r="S14" s="6"/>
      <c r="T14" s="6"/>
    </row>
    <row r="15" spans="1:20" x14ac:dyDescent="0.25">
      <c r="A15" s="6" t="s">
        <v>0</v>
      </c>
      <c r="B15" s="6" t="s">
        <v>37</v>
      </c>
      <c r="C15" s="6" t="s">
        <v>15</v>
      </c>
      <c r="D15" s="6" t="s">
        <v>337</v>
      </c>
      <c r="E15" s="12">
        <v>918.3483933</v>
      </c>
      <c r="F15" s="6" t="s">
        <v>58</v>
      </c>
      <c r="G15" s="25"/>
      <c r="H15" s="25"/>
      <c r="I15" s="26" t="s">
        <v>337</v>
      </c>
      <c r="J15" s="25"/>
      <c r="K15" s="6" t="s">
        <v>113</v>
      </c>
      <c r="L15" s="6" t="s">
        <v>337</v>
      </c>
      <c r="M15" s="6" t="s">
        <v>337</v>
      </c>
      <c r="N15" s="6"/>
      <c r="O15" s="6"/>
      <c r="P15" s="6" t="s">
        <v>337</v>
      </c>
      <c r="Q15" s="6" t="s">
        <v>337</v>
      </c>
      <c r="R15" s="6"/>
      <c r="S15" s="6"/>
      <c r="T15" s="6"/>
    </row>
    <row r="16" spans="1:20" x14ac:dyDescent="0.25">
      <c r="A16" s="6" t="s">
        <v>0</v>
      </c>
      <c r="B16" s="6" t="s">
        <v>37</v>
      </c>
      <c r="C16" s="6" t="s">
        <v>17</v>
      </c>
      <c r="D16" s="6" t="s">
        <v>337</v>
      </c>
      <c r="E16" s="12">
        <v>7.2460908700000006</v>
      </c>
      <c r="F16" s="6" t="s">
        <v>58</v>
      </c>
      <c r="G16" s="25"/>
      <c r="H16" s="25"/>
      <c r="I16" s="26" t="s">
        <v>337</v>
      </c>
      <c r="J16" s="25"/>
      <c r="K16" s="6" t="s">
        <v>113</v>
      </c>
      <c r="L16" s="6" t="s">
        <v>337</v>
      </c>
      <c r="M16" s="6" t="s">
        <v>337</v>
      </c>
      <c r="N16" s="6"/>
      <c r="O16" s="6"/>
      <c r="P16" s="6" t="s">
        <v>337</v>
      </c>
      <c r="Q16" s="6" t="s">
        <v>337</v>
      </c>
      <c r="R16" s="6"/>
      <c r="S16" s="6"/>
      <c r="T16" s="6"/>
    </row>
    <row r="17" spans="1:20" x14ac:dyDescent="0.25">
      <c r="A17" s="6" t="s">
        <v>0</v>
      </c>
      <c r="B17" s="6" t="s">
        <v>37</v>
      </c>
      <c r="C17" s="6" t="s">
        <v>20</v>
      </c>
      <c r="D17" s="6" t="s">
        <v>337</v>
      </c>
      <c r="E17" s="12">
        <v>36.535699700000002</v>
      </c>
      <c r="F17" s="6" t="s">
        <v>58</v>
      </c>
      <c r="G17" s="25"/>
      <c r="H17" s="25"/>
      <c r="I17" s="26" t="s">
        <v>337</v>
      </c>
      <c r="J17" s="25"/>
      <c r="K17" s="6" t="s">
        <v>113</v>
      </c>
      <c r="L17" s="6" t="s">
        <v>337</v>
      </c>
      <c r="M17" s="6" t="s">
        <v>337</v>
      </c>
      <c r="N17" s="6"/>
      <c r="O17" s="6"/>
      <c r="P17" s="6" t="s">
        <v>337</v>
      </c>
      <c r="Q17" s="6" t="s">
        <v>337</v>
      </c>
      <c r="R17" s="6"/>
      <c r="S17" s="6"/>
      <c r="T17" s="6"/>
    </row>
    <row r="18" spans="1:20" x14ac:dyDescent="0.25">
      <c r="A18" s="6" t="s">
        <v>0</v>
      </c>
      <c r="B18" s="6" t="s">
        <v>37</v>
      </c>
      <c r="C18" s="6" t="s">
        <v>21</v>
      </c>
      <c r="D18" s="6" t="s">
        <v>337</v>
      </c>
      <c r="E18" s="12">
        <v>8.9047192000000006</v>
      </c>
      <c r="F18" s="6" t="s">
        <v>58</v>
      </c>
      <c r="G18" s="25"/>
      <c r="H18" s="25"/>
      <c r="I18" s="26" t="s">
        <v>337</v>
      </c>
      <c r="J18" s="25"/>
      <c r="K18" s="6" t="s">
        <v>113</v>
      </c>
      <c r="L18" s="6" t="s">
        <v>337</v>
      </c>
      <c r="M18" s="6" t="s">
        <v>337</v>
      </c>
      <c r="N18" s="6"/>
      <c r="O18" s="6"/>
      <c r="P18" s="6" t="s">
        <v>337</v>
      </c>
      <c r="Q18" s="6" t="s">
        <v>337</v>
      </c>
      <c r="R18" s="6"/>
      <c r="S18" s="6"/>
      <c r="T18" s="6"/>
    </row>
    <row r="19" spans="1:20" x14ac:dyDescent="0.25">
      <c r="A19" s="6" t="s">
        <v>0</v>
      </c>
      <c r="B19" s="6" t="s">
        <v>37</v>
      </c>
      <c r="C19" s="6" t="s">
        <v>16</v>
      </c>
      <c r="D19" s="6" t="s">
        <v>337</v>
      </c>
      <c r="E19" s="12">
        <v>102.55750299710999</v>
      </c>
      <c r="F19" s="6" t="s">
        <v>58</v>
      </c>
      <c r="G19" s="25"/>
      <c r="H19" s="25"/>
      <c r="I19" s="26" t="s">
        <v>337</v>
      </c>
      <c r="J19" s="25"/>
      <c r="K19" s="6" t="s">
        <v>113</v>
      </c>
      <c r="L19" s="6" t="s">
        <v>337</v>
      </c>
      <c r="M19" s="6" t="s">
        <v>337</v>
      </c>
      <c r="N19" s="6"/>
      <c r="O19" s="6"/>
      <c r="P19" s="6" t="s">
        <v>337</v>
      </c>
      <c r="Q19" s="6" t="s">
        <v>337</v>
      </c>
      <c r="R19" s="6"/>
      <c r="S19" s="6"/>
      <c r="T19" s="6"/>
    </row>
    <row r="20" spans="1:20" x14ac:dyDescent="0.25">
      <c r="A20" s="6" t="s">
        <v>0</v>
      </c>
      <c r="B20" s="6" t="s">
        <v>37</v>
      </c>
      <c r="C20" s="6" t="s">
        <v>18</v>
      </c>
      <c r="D20" s="6" t="s">
        <v>337</v>
      </c>
      <c r="E20" s="12">
        <v>435.59718999999996</v>
      </c>
      <c r="F20" s="6" t="s">
        <v>58</v>
      </c>
      <c r="G20" s="25"/>
      <c r="H20" s="25"/>
      <c r="I20" s="26" t="s">
        <v>337</v>
      </c>
      <c r="J20" s="25"/>
      <c r="K20" s="6" t="s">
        <v>113</v>
      </c>
      <c r="L20" s="6" t="s">
        <v>337</v>
      </c>
      <c r="M20" s="6" t="s">
        <v>337</v>
      </c>
      <c r="N20" s="6"/>
      <c r="O20" s="6"/>
      <c r="P20" s="6" t="s">
        <v>337</v>
      </c>
      <c r="Q20" s="6" t="s">
        <v>337</v>
      </c>
      <c r="R20" s="6"/>
      <c r="S20" s="6"/>
      <c r="T20" s="6"/>
    </row>
    <row r="21" spans="1:20" x14ac:dyDescent="0.25">
      <c r="A21" s="6" t="s">
        <v>0</v>
      </c>
      <c r="B21" s="6" t="s">
        <v>244</v>
      </c>
      <c r="C21" s="6" t="s">
        <v>22</v>
      </c>
      <c r="D21" s="6" t="s">
        <v>337</v>
      </c>
      <c r="E21" s="12">
        <v>864.97422300000005</v>
      </c>
      <c r="F21" s="6" t="s">
        <v>58</v>
      </c>
      <c r="G21" s="25"/>
      <c r="H21" s="25"/>
      <c r="I21" s="26" t="s">
        <v>337</v>
      </c>
      <c r="J21" s="25"/>
      <c r="K21" s="6" t="s">
        <v>113</v>
      </c>
      <c r="L21" s="6" t="s">
        <v>337</v>
      </c>
      <c r="M21" s="6" t="s">
        <v>337</v>
      </c>
      <c r="N21" s="6"/>
      <c r="O21" s="6"/>
      <c r="P21" s="6" t="s">
        <v>337</v>
      </c>
      <c r="Q21" s="6" t="s">
        <v>337</v>
      </c>
      <c r="R21" s="6"/>
      <c r="S21" s="6"/>
      <c r="T21" s="6"/>
    </row>
    <row r="22" spans="1:20" x14ac:dyDescent="0.25">
      <c r="A22" s="6" t="s">
        <v>0</v>
      </c>
      <c r="B22" s="6" t="s">
        <v>37</v>
      </c>
      <c r="C22" s="6" t="s">
        <v>36</v>
      </c>
      <c r="D22" s="6" t="s">
        <v>337</v>
      </c>
      <c r="E22" s="12">
        <v>0.54659266399999995</v>
      </c>
      <c r="F22" s="6" t="s">
        <v>58</v>
      </c>
      <c r="G22" s="25"/>
      <c r="H22" s="25"/>
      <c r="I22" s="26" t="s">
        <v>337</v>
      </c>
      <c r="J22" s="25"/>
      <c r="K22" s="6" t="s">
        <v>86</v>
      </c>
      <c r="L22" s="6" t="s">
        <v>337</v>
      </c>
      <c r="M22" s="6" t="s">
        <v>337</v>
      </c>
      <c r="N22" s="6"/>
      <c r="O22" s="6"/>
      <c r="P22" s="6" t="s">
        <v>337</v>
      </c>
      <c r="Q22" s="6" t="s">
        <v>337</v>
      </c>
      <c r="R22" s="6"/>
      <c r="S22" s="6"/>
      <c r="T22" s="6"/>
    </row>
    <row r="23" spans="1:20" x14ac:dyDescent="0.25">
      <c r="A23" s="6" t="s">
        <v>0</v>
      </c>
      <c r="B23" s="6" t="s">
        <v>37</v>
      </c>
      <c r="C23" s="6" t="s">
        <v>23</v>
      </c>
      <c r="D23" s="6" t="s">
        <v>337</v>
      </c>
      <c r="E23" s="12">
        <v>183.150814</v>
      </c>
      <c r="F23" s="6" t="s">
        <v>58</v>
      </c>
      <c r="G23" s="25"/>
      <c r="H23" s="25"/>
      <c r="I23" s="26" t="s">
        <v>337</v>
      </c>
      <c r="J23" s="25"/>
      <c r="K23" s="6" t="s">
        <v>86</v>
      </c>
      <c r="L23" s="6" t="s">
        <v>337</v>
      </c>
      <c r="M23" s="6" t="s">
        <v>337</v>
      </c>
      <c r="N23" s="6"/>
      <c r="O23" s="6"/>
      <c r="P23" s="6" t="s">
        <v>337</v>
      </c>
      <c r="Q23" s="6" t="s">
        <v>337</v>
      </c>
      <c r="R23" s="6"/>
      <c r="S23" s="6"/>
      <c r="T23" s="6"/>
    </row>
    <row r="24" spans="1:20" x14ac:dyDescent="0.25">
      <c r="A24" s="6" t="s">
        <v>0</v>
      </c>
      <c r="B24" s="6" t="s">
        <v>37</v>
      </c>
      <c r="C24" s="6" t="s">
        <v>25</v>
      </c>
      <c r="D24" s="6" t="s">
        <v>337</v>
      </c>
      <c r="E24" s="12">
        <v>1.27822462</v>
      </c>
      <c r="F24" s="6" t="s">
        <v>58</v>
      </c>
      <c r="G24" s="25"/>
      <c r="H24" s="25"/>
      <c r="I24" s="26" t="s">
        <v>337</v>
      </c>
      <c r="J24" s="25"/>
      <c r="K24" s="6" t="s">
        <v>86</v>
      </c>
      <c r="L24" s="6" t="s">
        <v>337</v>
      </c>
      <c r="M24" s="6" t="s">
        <v>337</v>
      </c>
      <c r="N24" s="6"/>
      <c r="O24" s="6"/>
      <c r="P24" s="6" t="s">
        <v>337</v>
      </c>
      <c r="Q24" s="6" t="s">
        <v>337</v>
      </c>
      <c r="R24" s="6"/>
      <c r="S24" s="6"/>
      <c r="T24" s="6"/>
    </row>
    <row r="25" spans="1:20" x14ac:dyDescent="0.25">
      <c r="A25" s="6" t="s">
        <v>0</v>
      </c>
      <c r="B25" s="6" t="s">
        <v>29</v>
      </c>
      <c r="C25" s="6" t="s">
        <v>29</v>
      </c>
      <c r="D25" s="6" t="s">
        <v>337</v>
      </c>
      <c r="E25" s="12">
        <v>150469.15700000001</v>
      </c>
      <c r="F25" s="6" t="s">
        <v>58</v>
      </c>
      <c r="G25" s="25"/>
      <c r="H25" s="25"/>
      <c r="I25" s="26" t="s">
        <v>337</v>
      </c>
      <c r="J25" s="25"/>
      <c r="K25" s="6" t="s">
        <v>86</v>
      </c>
      <c r="L25" s="6" t="s">
        <v>337</v>
      </c>
      <c r="M25" s="6" t="s">
        <v>337</v>
      </c>
      <c r="N25" s="6"/>
      <c r="O25" s="6"/>
      <c r="P25" s="6" t="s">
        <v>337</v>
      </c>
      <c r="Q25" s="6" t="s">
        <v>337</v>
      </c>
      <c r="R25" s="6"/>
      <c r="S25" s="6"/>
      <c r="T25" s="6"/>
    </row>
    <row r="26" spans="1:20" x14ac:dyDescent="0.25">
      <c r="A26" s="6" t="s">
        <v>0</v>
      </c>
      <c r="B26" s="6" t="s">
        <v>244</v>
      </c>
      <c r="C26" s="6" t="s">
        <v>24</v>
      </c>
      <c r="D26" s="6" t="s">
        <v>31</v>
      </c>
      <c r="E26" s="12">
        <v>6400</v>
      </c>
      <c r="F26" s="6" t="s">
        <v>58</v>
      </c>
      <c r="G26" s="25"/>
      <c r="H26" s="25"/>
      <c r="I26" s="26" t="s">
        <v>337</v>
      </c>
      <c r="J26" s="25"/>
      <c r="K26" s="6" t="s">
        <v>86</v>
      </c>
      <c r="L26" s="6" t="s">
        <v>337</v>
      </c>
      <c r="M26" s="6" t="s">
        <v>337</v>
      </c>
      <c r="N26" s="6"/>
      <c r="O26" s="6"/>
      <c r="P26" s="6" t="s">
        <v>337</v>
      </c>
      <c r="Q26" s="6" t="s">
        <v>337</v>
      </c>
      <c r="R26" s="6"/>
      <c r="S26" s="6"/>
      <c r="T26" s="6"/>
    </row>
    <row r="27" spans="1:20" x14ac:dyDescent="0.25">
      <c r="A27" s="6" t="s">
        <v>0</v>
      </c>
      <c r="B27" s="6" t="s">
        <v>3</v>
      </c>
      <c r="C27" s="6" t="s">
        <v>3</v>
      </c>
      <c r="D27" s="6" t="s">
        <v>10</v>
      </c>
      <c r="E27" s="12">
        <v>17904</v>
      </c>
      <c r="F27" s="6" t="s">
        <v>68</v>
      </c>
      <c r="G27" s="25"/>
      <c r="H27" s="25"/>
      <c r="I27" s="26" t="s">
        <v>337</v>
      </c>
      <c r="J27" s="25"/>
      <c r="K27" s="6" t="s">
        <v>113</v>
      </c>
      <c r="L27" s="6" t="s">
        <v>337</v>
      </c>
      <c r="M27" s="6" t="s">
        <v>337</v>
      </c>
      <c r="N27" s="6"/>
      <c r="O27" s="6"/>
      <c r="P27" s="6" t="s">
        <v>337</v>
      </c>
      <c r="Q27" s="6" t="s">
        <v>337</v>
      </c>
      <c r="R27" s="6"/>
      <c r="S27" s="6"/>
      <c r="T27" s="6"/>
    </row>
    <row r="28" spans="1:20" x14ac:dyDescent="0.25">
      <c r="A28" s="6" t="s">
        <v>0</v>
      </c>
      <c r="B28" s="6" t="s">
        <v>3</v>
      </c>
      <c r="C28" s="6" t="s">
        <v>3</v>
      </c>
      <c r="D28" s="6" t="s">
        <v>10</v>
      </c>
      <c r="E28" s="12">
        <v>3303</v>
      </c>
      <c r="F28" s="6" t="s">
        <v>68</v>
      </c>
      <c r="G28" s="25"/>
      <c r="H28" s="25"/>
      <c r="I28" s="26" t="s">
        <v>337</v>
      </c>
      <c r="J28" s="25"/>
      <c r="K28" s="6" t="s">
        <v>85</v>
      </c>
      <c r="L28" s="6" t="s">
        <v>337</v>
      </c>
      <c r="M28" s="6" t="s">
        <v>337</v>
      </c>
      <c r="N28" s="6"/>
      <c r="O28" s="6"/>
      <c r="P28" s="6" t="s">
        <v>337</v>
      </c>
      <c r="Q28" s="6" t="s">
        <v>337</v>
      </c>
      <c r="R28" s="6"/>
      <c r="S28" s="6"/>
      <c r="T28" s="6"/>
    </row>
    <row r="29" spans="1:20" x14ac:dyDescent="0.25">
      <c r="A29" s="6" t="s">
        <v>0</v>
      </c>
      <c r="B29" s="6" t="s">
        <v>3</v>
      </c>
      <c r="C29" s="6" t="s">
        <v>3</v>
      </c>
      <c r="D29" s="6" t="s">
        <v>10</v>
      </c>
      <c r="E29" s="12">
        <v>19865.607596999995</v>
      </c>
      <c r="F29" s="6" t="s">
        <v>68</v>
      </c>
      <c r="G29" s="25"/>
      <c r="H29" s="25"/>
      <c r="I29" s="26" t="s">
        <v>337</v>
      </c>
      <c r="J29" s="25"/>
      <c r="K29" s="6" t="s">
        <v>86</v>
      </c>
      <c r="L29" s="6" t="s">
        <v>337</v>
      </c>
      <c r="M29" s="6" t="s">
        <v>337</v>
      </c>
      <c r="N29" s="6"/>
      <c r="O29" s="6"/>
      <c r="P29" s="6" t="s">
        <v>337</v>
      </c>
      <c r="Q29" s="6" t="s">
        <v>337</v>
      </c>
      <c r="R29" s="6"/>
      <c r="S29" s="6"/>
      <c r="T29" s="6"/>
    </row>
    <row r="30" spans="1:20" x14ac:dyDescent="0.25">
      <c r="A30" s="6" t="s">
        <v>113</v>
      </c>
      <c r="B30" s="6" t="s">
        <v>244</v>
      </c>
      <c r="C30" s="6" t="s">
        <v>276</v>
      </c>
      <c r="D30" s="6"/>
      <c r="E30" s="12">
        <v>456.83276908311399</v>
      </c>
      <c r="F30" s="6" t="s">
        <v>70</v>
      </c>
      <c r="G30" s="25"/>
      <c r="H30" s="25"/>
      <c r="I30" s="26" t="s">
        <v>337</v>
      </c>
      <c r="J30" s="25"/>
      <c r="K30" s="6" t="s">
        <v>113</v>
      </c>
      <c r="L30" s="6" t="s">
        <v>337</v>
      </c>
      <c r="M30" s="6" t="s">
        <v>337</v>
      </c>
      <c r="N30" s="6">
        <v>21.535015935911794</v>
      </c>
      <c r="O30" s="6" t="s">
        <v>363</v>
      </c>
      <c r="P30" s="6" t="s">
        <v>2</v>
      </c>
      <c r="Q30" s="6" t="s">
        <v>83</v>
      </c>
      <c r="R30" s="6"/>
      <c r="S30" s="6"/>
      <c r="T30" s="6"/>
    </row>
    <row r="31" spans="1:20" x14ac:dyDescent="0.25">
      <c r="A31" s="6" t="s">
        <v>85</v>
      </c>
      <c r="B31" s="6" t="s">
        <v>37</v>
      </c>
      <c r="C31" s="6" t="s">
        <v>51</v>
      </c>
      <c r="D31" s="6"/>
      <c r="E31" s="12">
        <v>1968.0218600000001</v>
      </c>
      <c r="F31" s="6" t="s">
        <v>58</v>
      </c>
      <c r="G31" s="25"/>
      <c r="H31" s="25"/>
      <c r="I31" s="26" t="s">
        <v>114</v>
      </c>
      <c r="J31" s="25"/>
      <c r="K31" s="6" t="s">
        <v>85</v>
      </c>
      <c r="L31" s="6" t="s">
        <v>337</v>
      </c>
      <c r="M31" s="6" t="s">
        <v>337</v>
      </c>
      <c r="N31" s="6">
        <v>1.8739390198196608</v>
      </c>
      <c r="O31" s="6" t="s">
        <v>364</v>
      </c>
      <c r="P31" s="6" t="s">
        <v>278</v>
      </c>
      <c r="Q31" s="6"/>
      <c r="R31" s="6"/>
      <c r="S31" s="6"/>
      <c r="T31" s="6"/>
    </row>
    <row r="32" spans="1:20" x14ac:dyDescent="0.25">
      <c r="A32" s="85" t="s">
        <v>0</v>
      </c>
      <c r="B32" s="85" t="s">
        <v>245</v>
      </c>
      <c r="C32" s="85" t="s">
        <v>229</v>
      </c>
      <c r="D32" s="86"/>
      <c r="E32" s="12">
        <f>12*6/(12*6+8*1+5*16)*44/12*E31</f>
        <v>3247.2360690000005</v>
      </c>
      <c r="F32" s="86" t="str">
        <f>F31</f>
        <v>kg</v>
      </c>
      <c r="G32" s="87"/>
      <c r="H32" s="87"/>
      <c r="I32" s="26"/>
      <c r="J32" s="25"/>
      <c r="K32" s="85" t="str">
        <f>K31</f>
        <v>Co-product</v>
      </c>
      <c r="L32" s="86"/>
      <c r="M32" s="86"/>
      <c r="N32" s="85"/>
      <c r="O32" s="85"/>
      <c r="P32" s="86"/>
      <c r="Q32" s="86"/>
      <c r="R32" s="6"/>
      <c r="S32" s="85"/>
      <c r="T32" s="85" t="s">
        <v>366</v>
      </c>
    </row>
    <row r="33" spans="1:20" x14ac:dyDescent="0.25">
      <c r="A33" s="6" t="s">
        <v>85</v>
      </c>
      <c r="B33" s="6" t="s">
        <v>37</v>
      </c>
      <c r="C33" s="6" t="s">
        <v>280</v>
      </c>
      <c r="D33" s="6" t="s">
        <v>337</v>
      </c>
      <c r="E33" s="12">
        <v>13810.361000000001</v>
      </c>
      <c r="F33" s="6" t="s">
        <v>58</v>
      </c>
      <c r="G33" s="25"/>
      <c r="H33" s="25"/>
      <c r="I33" s="26" t="s">
        <v>124</v>
      </c>
      <c r="J33" s="25"/>
      <c r="K33" s="6" t="s">
        <v>86</v>
      </c>
      <c r="L33" s="6" t="s">
        <v>337</v>
      </c>
      <c r="M33" s="6" t="s">
        <v>337</v>
      </c>
      <c r="N33" s="6"/>
      <c r="O33" s="6"/>
      <c r="P33" s="6" t="s">
        <v>280</v>
      </c>
      <c r="Q33" s="6" t="s">
        <v>337</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IF(Table13[[#This Row],[Type]]="Co-product", "No", "")</f>
        <v/>
      </c>
      <c r="J101" s="25"/>
      <c r="K101" s="6"/>
      <c r="L101" s="6" t="str">
        <f>IF(Table13[[#This Row],[Category]]="Transportation", _xlfn.XLOOKUP(Table13[[#This Row],[Resource]], 'SI - Payload'!$A$10:$A$40,'SI - Payload'!$B$10:$B$40,"",0), "")</f>
        <v/>
      </c>
      <c r="M101" s="6" t="str">
        <f>IF(Table13[[#This Row],[Category]]="Transportation", "ton", "")</f>
        <v/>
      </c>
      <c r="N101" s="6"/>
      <c r="O101" s="6"/>
      <c r="P101" s="6" t="str">
        <f>IF(OR(Table13[[#This Row],[Type]]="Main Product", Table13[[#This Row],[Type]]="Co-Product"), Table13[[#This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2DD414B1-627E-4A9B-9929-3E62112894D8}">
      <formula1>0</formula1>
      <formula2>1</formula2>
    </dataValidation>
    <dataValidation type="list" allowBlank="1" showInputMessage="1" showErrorMessage="1" sqref="M6:M101" xr:uid="{2D038710-D7E4-48EA-A583-F67F8FFADB16}">
      <formula1>payload_units</formula1>
    </dataValidation>
    <dataValidation type="decimal" operator="greaterThan" allowBlank="1" showInputMessage="1" showErrorMessage="1" error="Please type a positive number." sqref="L6:L101" xr:uid="{22DFDABA-DC3C-491D-A035-70E21FD36A0F}">
      <formula1>0</formula1>
    </dataValidation>
    <dataValidation type="decimal" operator="greaterThan" allowBlank="1" showInputMessage="1" showErrorMessage="1" error="Please type a positive price." sqref="N6:N101" xr:uid="{B34E3C69-0F20-47C1-A589-F717A18B901C}">
      <formula1>0</formula1>
    </dataValidation>
    <dataValidation type="decimal" allowBlank="1" showInputMessage="1" showErrorMessage="1" error="Please type a number between 0 and 1." sqref="G6:G101" xr:uid="{F86E7217-F32D-45DD-A416-7FDFC09879F2}">
      <formula1>0</formula1>
      <formula2>1</formula2>
    </dataValidation>
    <dataValidation type="custom" allowBlank="1" showInputMessage="1" showErrorMessage="1" sqref="E6:E101" xr:uid="{5C439AD8-F705-438C-B0E1-F91CE61811F6}">
      <formula1>ISNUMBER(E6)</formula1>
    </dataValidation>
    <dataValidation type="list" allowBlank="1" showInputMessage="1" showErrorMessage="1" sqref="C2" xr:uid="{513108E1-0AFE-4DA9-AA6D-C1AC664C679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2F962729-CC4B-4F32-87D8-8A0EF5039C26}">
          <x14:formula1>
            <xm:f>IF($B6="Transportation",  transport_units, INDIRECT(_xlfn.XLOOKUP($C6, 'SI - Units'!$F$26:$F$36,'SI - Units'!$G$26:$G$36,"mass",0)))</xm:f>
          </x14:formula1>
          <xm:sqref>F6:F101</xm:sqref>
        </x14:dataValidation>
        <x14:dataValidation type="list" allowBlank="1" showInputMessage="1" showErrorMessage="1" xr:uid="{5F88BD03-F5DC-4A9B-8BAE-39B67601073C}">
          <x14:formula1>
            <xm:f>INDIRECT("p_"&amp;_xlfn.XLOOKUP($C6,'SI - Units'!$F$26:$F$36,'SI - Units'!$G$26:$G$36,"mass",0))</xm:f>
          </x14:formula1>
          <xm:sqref>O6:O101</xm:sqref>
        </x14:dataValidation>
        <x14:dataValidation type="list" allowBlank="1" showInputMessage="1" showErrorMessage="1" xr:uid="{FDC0E7ED-18CA-41A8-A428-9EC807063D0C}">
          <x14:formula1>
            <xm:f>INDIRECT(_xlfn.XLOOKUP($P6,'SI - End Use'!$A$11:$A$17,'SI - End Use'!$B$11:$B$17,"other_end_use",0))</xm:f>
          </x14:formula1>
          <xm:sqref>Q6:R101</xm:sqref>
        </x14:dataValidation>
        <x14:dataValidation type="list" allowBlank="1" showInputMessage="1" xr:uid="{363268A7-AD68-42D2-8799-138748542B79}">
          <x14:formula1>
            <xm:f>INDIRECT(_xlfn.XLOOKUP($C6,'SI - End Use'!$A$11:$A$17,'SI - End Use'!$B$11:$B$17,"other_end_use",0))</xm:f>
          </x14:formula1>
          <xm:sqref>D6:D101</xm:sqref>
        </x14:dataValidation>
        <x14:dataValidation type="list" allowBlank="1" showInputMessage="1" showErrorMessage="1" xr:uid="{C8E9A7B5-A0DB-4900-B62C-31281B2A7398}">
          <x14:formula1>
            <xm:f>INDIRECT(_xlfn.XLOOKUP($B6, 'SI - Resources'!$R$1:$R$10,'SI - Resources'!$S$1:$S$10, "placeholder_resource", 0))</xm:f>
          </x14:formula1>
          <xm:sqref>P6:P101 C6:C101</xm:sqref>
        </x14:dataValidation>
        <x14:dataValidation type="list" allowBlank="1" showInputMessage="1" showErrorMessage="1" xr:uid="{C5FC3977-65F3-479B-A1DE-0AD53EAA7AD8}">
          <x14:formula1>
            <xm:f>'SI - Co-products'!$B$2:$B$6</xm:f>
          </x14:formula1>
          <xm:sqref>A6:A101</xm:sqref>
        </x14:dataValidation>
        <x14:dataValidation type="list" allowBlank="1" showInputMessage="1" showErrorMessage="1" xr:uid="{0B276130-ADD2-45D1-B5CB-BE972F3AE51F}">
          <x14:formula1>
            <xm:f>'SI - Resources'!$A$1:$J$1</xm:f>
          </x14:formula1>
          <xm:sqref>B6:B101</xm:sqref>
        </x14:dataValidation>
        <x14:dataValidation type="list" allowBlank="1" showInputMessage="1" showErrorMessage="1" xr:uid="{803E0FE6-DAA1-48E7-A9A7-DCBD54137029}">
          <x14:formula1>
            <xm:f>'SI - Co-products'!$C$2:$C$4</xm:f>
          </x14:formula1>
          <xm:sqref>I6:I101</xm:sqref>
        </x14:dataValidation>
        <x14:dataValidation type="list" allowBlank="1" showInputMessage="1" showErrorMessage="1" xr:uid="{1E8F1090-33F5-4EB6-BA2A-AD2E31E9D2A0}">
          <x14:formula1>
            <xm:f>'SI - Co-products'!$A$2:$A$5</xm:f>
          </x14:formula1>
          <xm:sqref>K6:K101</xm:sqref>
        </x14:dataValidation>
        <x14:dataValidation type="list" allowBlank="1" showInputMessage="1" showErrorMessage="1" xr:uid="{BC7ABC53-FFA2-491B-9F08-3143D52C7349}">
          <x14:formula1>
            <xm:f>_xlfn.XLOOKUP(_xlfn.XLOOKUP(#REF!,'SI - Units'!$B$24:$B$109,'SI - Units'!$C$24:$C$109),'SI - Units'!$A$2:$A$8,'SI - Units'!$B$2:$R$8)</xm:f>
          </x14:formula1>
          <xm:sqref>F5</xm:sqref>
        </x14:dataValidation>
        <x14:dataValidation type="list" allowBlank="1" showInputMessage="1" showErrorMessage="1" xr:uid="{A3F9F415-92E6-4E7D-897D-A2484E9735A4}">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3848B-8C79-4D37-8EF0-3B83F26AEF21}">
  <sheetPr codeName="Sheet19"/>
  <dimension ref="A1:T100"/>
  <sheetViews>
    <sheetView workbookViewId="0">
      <pane ySplit="5" topLeftCell="A6" activePane="bottomLeft" state="frozen"/>
      <selection activeCell="C19" sqref="C19"/>
      <selection pane="bottomLeft" activeCell="E9" sqref="E9"/>
    </sheetView>
  </sheetViews>
  <sheetFormatPr defaultRowHeight="15" x14ac:dyDescent="0.25"/>
  <cols>
    <col min="1" max="1" width="30.28515625" customWidth="1"/>
    <col min="2" max="2" width="10.7109375" bestFit="1" customWidth="1"/>
    <col min="3" max="3" width="37"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0.68500000000000005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276</v>
      </c>
      <c r="D6" s="6" t="s">
        <v>337</v>
      </c>
      <c r="E6" s="76">
        <v>1.000045143067781</v>
      </c>
      <c r="F6" s="6" t="s">
        <v>70</v>
      </c>
      <c r="G6" s="25"/>
      <c r="H6" s="25" t="s">
        <v>365</v>
      </c>
      <c r="I6" s="26" t="s">
        <v>337</v>
      </c>
      <c r="J6" s="25"/>
      <c r="K6" s="6"/>
      <c r="L6" s="6" t="s">
        <v>337</v>
      </c>
      <c r="M6" s="6" t="s">
        <v>337</v>
      </c>
      <c r="N6" s="6"/>
      <c r="O6" s="6"/>
      <c r="P6" s="6" t="s">
        <v>337</v>
      </c>
      <c r="Q6" s="6" t="s">
        <v>337</v>
      </c>
      <c r="R6" s="6"/>
      <c r="S6" s="6"/>
      <c r="T6" s="6"/>
    </row>
    <row r="7" spans="1:20" x14ac:dyDescent="0.25">
      <c r="A7" s="6" t="s">
        <v>0</v>
      </c>
      <c r="B7" s="6" t="s">
        <v>245</v>
      </c>
      <c r="C7" s="6" t="s">
        <v>218</v>
      </c>
      <c r="D7" s="6" t="s">
        <v>337</v>
      </c>
      <c r="E7" s="74">
        <v>1.087</v>
      </c>
      <c r="F7" s="6" t="s">
        <v>27</v>
      </c>
      <c r="G7" s="25"/>
      <c r="H7" s="25"/>
      <c r="I7" s="26" t="s">
        <v>337</v>
      </c>
      <c r="J7" s="25">
        <v>0.67</v>
      </c>
      <c r="K7" s="6"/>
      <c r="L7" s="6" t="s">
        <v>337</v>
      </c>
      <c r="M7" s="6" t="s">
        <v>337</v>
      </c>
      <c r="N7" s="6"/>
      <c r="O7" s="6"/>
      <c r="P7" s="6" t="s">
        <v>337</v>
      </c>
      <c r="Q7" s="6" t="s">
        <v>337</v>
      </c>
      <c r="R7" s="6"/>
      <c r="S7" s="6"/>
      <c r="T7" s="6"/>
    </row>
    <row r="8" spans="1:20" x14ac:dyDescent="0.25">
      <c r="A8" s="6" t="s">
        <v>0</v>
      </c>
      <c r="B8" s="6" t="s">
        <v>33</v>
      </c>
      <c r="C8" s="6" t="s">
        <v>276</v>
      </c>
      <c r="D8" s="6"/>
      <c r="E8" s="12">
        <v>30</v>
      </c>
      <c r="F8" s="6" t="s">
        <v>34</v>
      </c>
      <c r="G8" s="25"/>
      <c r="H8" s="25"/>
      <c r="I8" s="26" t="s">
        <v>337</v>
      </c>
      <c r="J8" s="25"/>
      <c r="K8" s="6"/>
      <c r="L8" s="6">
        <v>25</v>
      </c>
      <c r="M8" s="6" t="s">
        <v>11</v>
      </c>
      <c r="N8" s="6"/>
      <c r="O8" s="6"/>
      <c r="P8" s="6"/>
      <c r="Q8" s="6"/>
      <c r="R8" s="6"/>
      <c r="S8" s="6"/>
      <c r="T8" s="6"/>
    </row>
    <row r="9" spans="1:20" x14ac:dyDescent="0.25">
      <c r="A9" s="6" t="s">
        <v>113</v>
      </c>
      <c r="B9" s="6" t="s">
        <v>244</v>
      </c>
      <c r="C9" s="6" t="s">
        <v>276</v>
      </c>
      <c r="D9" s="6" t="s">
        <v>83</v>
      </c>
      <c r="E9" s="12">
        <v>1</v>
      </c>
      <c r="F9" s="6" t="s">
        <v>70</v>
      </c>
      <c r="G9" s="25"/>
      <c r="H9" s="25"/>
      <c r="I9" s="26" t="s">
        <v>337</v>
      </c>
      <c r="J9" s="25">
        <v>0.7</v>
      </c>
      <c r="K9" s="6"/>
      <c r="L9" s="6" t="s">
        <v>337</v>
      </c>
      <c r="M9" s="6" t="s">
        <v>337</v>
      </c>
      <c r="N9" s="6"/>
      <c r="O9" s="6"/>
      <c r="P9" s="6" t="s">
        <v>2</v>
      </c>
      <c r="Q9" s="6" t="s">
        <v>83</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2D55496-E65A-4819-9350-B9A0BBFD49D7}">
      <formula1>0</formula1>
      <formula2>1</formula2>
    </dataValidation>
    <dataValidation type="list" allowBlank="1" showInputMessage="1" showErrorMessage="1" sqref="M6:M100" xr:uid="{829E5085-459E-456B-8303-DDAEF128A64D}">
      <formula1>payload_units</formula1>
    </dataValidation>
    <dataValidation type="decimal" operator="greaterThan" allowBlank="1" showInputMessage="1" showErrorMessage="1" error="Please type a positive number." sqref="L6:L100" xr:uid="{F6D1F20F-A1BC-4F34-A437-3A9BD61D0B7A}">
      <formula1>0</formula1>
    </dataValidation>
    <dataValidation type="decimal" operator="greaterThan" allowBlank="1" showInputMessage="1" showErrorMessage="1" error="Please type a positive price." sqref="N6:N100" xr:uid="{F360D1A3-E9F0-482C-A38C-A9C2DC410B28}">
      <formula1>0</formula1>
    </dataValidation>
    <dataValidation type="decimal" allowBlank="1" showInputMessage="1" showErrorMessage="1" error="Please type a number between 0 and 1." sqref="G6:G100" xr:uid="{65ABBB55-1DD7-4160-BBD4-92C84481EA40}">
      <formula1>0</formula1>
      <formula2>1</formula2>
    </dataValidation>
    <dataValidation type="custom" allowBlank="1" showInputMessage="1" showErrorMessage="1" sqref="E6:E100" xr:uid="{538D6EDE-03E0-4409-9736-39E51D28AAB7}">
      <formula1>ISNUMBER(E6)</formula1>
    </dataValidation>
    <dataValidation type="list" allowBlank="1" showInputMessage="1" showErrorMessage="1" sqref="C2" xr:uid="{4BFC6748-3891-40E1-BDBB-04B64237682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CAE9AF7-0BA0-43A2-B142-EB1959828440}">
          <x14:formula1>
            <xm:f>IF($B6="Transportation",  transport_units, INDIRECT(_xlfn.XLOOKUP($C6, 'SI - Units'!$F$26:$F$36,'SI - Units'!$G$26:$G$36,"mass",0)))</xm:f>
          </x14:formula1>
          <xm:sqref>F6:F100</xm:sqref>
        </x14:dataValidation>
        <x14:dataValidation type="list" allowBlank="1" showInputMessage="1" showErrorMessage="1" xr:uid="{4509E858-D5EE-4443-A6DC-3E1B4D083191}">
          <x14:formula1>
            <xm:f>INDIRECT("p_"&amp;_xlfn.XLOOKUP($C6,'SI - Units'!$F$26:$F$36,'SI - Units'!$G$26:$G$36,"mass",0))</xm:f>
          </x14:formula1>
          <xm:sqref>O6:O100</xm:sqref>
        </x14:dataValidation>
        <x14:dataValidation type="list" allowBlank="1" showInputMessage="1" showErrorMessage="1" xr:uid="{458ACA36-09E5-4AEF-8375-C712D86A843F}">
          <x14:formula1>
            <xm:f>INDIRECT(_xlfn.XLOOKUP($P6,'SI - End Use'!$A$11:$A$17,'SI - End Use'!$B$11:$B$17,"other_end_use",0))</xm:f>
          </x14:formula1>
          <xm:sqref>Q6:R100</xm:sqref>
        </x14:dataValidation>
        <x14:dataValidation type="list" allowBlank="1" showInputMessage="1" xr:uid="{54F2E4BC-3941-4881-84F2-8D2227279271}">
          <x14:formula1>
            <xm:f>INDIRECT(_xlfn.XLOOKUP($C6,'SI - End Use'!$A$11:$A$17,'SI - End Use'!$B$11:$B$17,"other_end_use",0))</xm:f>
          </x14:formula1>
          <xm:sqref>D6:D100</xm:sqref>
        </x14:dataValidation>
        <x14:dataValidation type="list" allowBlank="1" showInputMessage="1" showErrorMessage="1" xr:uid="{198CA5C4-51EB-4DF0-B190-2987D660AF9C}">
          <x14:formula1>
            <xm:f>INDIRECT(_xlfn.XLOOKUP($B6, 'SI - Resources'!$R$1:$R$10,'SI - Resources'!$S$1:$S$10, "placeholder_resource", 0))</xm:f>
          </x14:formula1>
          <xm:sqref>P6:P100 C6:C100</xm:sqref>
        </x14:dataValidation>
        <x14:dataValidation type="list" allowBlank="1" showInputMessage="1" showErrorMessage="1" xr:uid="{8D9A4494-B1B5-41CA-9A96-069048280EDE}">
          <x14:formula1>
            <xm:f>'SI - Co-products'!$B$2:$B$6</xm:f>
          </x14:formula1>
          <xm:sqref>A6:A100</xm:sqref>
        </x14:dataValidation>
        <x14:dataValidation type="list" allowBlank="1" showInputMessage="1" showErrorMessage="1" xr:uid="{2C9D8CEF-82CE-4EDE-A6BB-B77056228BB7}">
          <x14:formula1>
            <xm:f>'SI - Resources'!$A$1:$J$1</xm:f>
          </x14:formula1>
          <xm:sqref>B6:B100</xm:sqref>
        </x14:dataValidation>
        <x14:dataValidation type="list" allowBlank="1" showInputMessage="1" showErrorMessage="1" xr:uid="{7F762999-E5DE-497C-BF49-F15AD91920EA}">
          <x14:formula1>
            <xm:f>'SI - Co-products'!$C$2:$C$4</xm:f>
          </x14:formula1>
          <xm:sqref>I6:I100</xm:sqref>
        </x14:dataValidation>
        <x14:dataValidation type="list" allowBlank="1" showInputMessage="1" showErrorMessage="1" xr:uid="{1A037B92-2113-416A-B19D-D44B1111FCEF}">
          <x14:formula1>
            <xm:f>'SI - Co-products'!$A$2:$A$5</xm:f>
          </x14:formula1>
          <xm:sqref>K6:K100</xm:sqref>
        </x14:dataValidation>
        <x14:dataValidation type="list" allowBlank="1" showInputMessage="1" showErrorMessage="1" xr:uid="{79228EE2-D8DE-4D4A-9124-5D11C863B475}">
          <x14:formula1>
            <xm:f>_xlfn.XLOOKUP(_xlfn.XLOOKUP(#REF!,'SI - Units'!$B$24:$B$109,'SI - Units'!$C$24:$C$109),'SI - Units'!$A$2:$A$8,'SI - Units'!$B$2:$R$8)</xm:f>
          </x14:formula1>
          <xm:sqref>F5</xm:sqref>
        </x14:dataValidation>
        <x14:dataValidation type="list" allowBlank="1" showInputMessage="1" showErrorMessage="1" xr:uid="{5A31C78D-B3C1-4041-9168-BAAA9D75251A}">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INL Data</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2022-11-08T22:11:00Z</dcterms:modified>
</cp:coreProperties>
</file>