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B09C5D6-95F1-4A61-B240-C2C7096CF96E}" xr6:coauthVersionLast="47" xr6:coauthVersionMax="47" xr10:uidLastSave="{00000000-0000-0000-0000-000000000000}"/>
  <bookViews>
    <workbookView xWindow="-120" yWindow="-120" windowWidth="29040" windowHeight="15840" tabRatio="685" firstSheet="1" activeTab="10"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Algae growth" sheetId="25" r:id="rId8"/>
    <sheet name="Algae transportation" sheetId="26" r:id="rId9"/>
    <sheet name="Algae drying" sheetId="27" r:id="rId10"/>
    <sheet name="Fuel produc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26" l="1"/>
  <c r="E16" i="29"/>
  <c r="E15" i="29"/>
  <c r="E7" i="29"/>
  <c r="P100" i="29"/>
  <c r="Q100" i="29" s="1"/>
  <c r="M100" i="29"/>
  <c r="L100" i="29"/>
  <c r="I100" i="29"/>
  <c r="C100" i="29"/>
  <c r="F100" i="29" s="1" a="1"/>
  <c r="F100" i="29" s="1"/>
  <c r="P99" i="29"/>
  <c r="Q99" i="29" s="1"/>
  <c r="M99" i="29"/>
  <c r="L99" i="29"/>
  <c r="I99" i="29"/>
  <c r="F99" i="29" a="1"/>
  <c r="F99" i="29" s="1"/>
  <c r="D99" i="29"/>
  <c r="C99" i="29"/>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F95" i="29" a="1"/>
  <c r="F95" i="29" s="1"/>
  <c r="D95" i="29"/>
  <c r="C95" i="29"/>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F91" i="29" a="1"/>
  <c r="F91" i="29" s="1"/>
  <c r="D91" i="29"/>
  <c r="C91" i="29"/>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F87" i="29" a="1"/>
  <c r="F87" i="29" s="1"/>
  <c r="D87" i="29"/>
  <c r="C87" i="29"/>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F83" i="29" a="1"/>
  <c r="F83" i="29" s="1"/>
  <c r="D83" i="29"/>
  <c r="C83" i="29"/>
  <c r="P82" i="29"/>
  <c r="Q82" i="29" s="1"/>
  <c r="M82" i="29"/>
  <c r="L82" i="29"/>
  <c r="I82" i="29"/>
  <c r="D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F79" i="29" a="1"/>
  <c r="F79" i="29" s="1"/>
  <c r="D79" i="29"/>
  <c r="C79" i="29"/>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F75" i="29" a="1"/>
  <c r="F75" i="29" s="1"/>
  <c r="D75" i="29"/>
  <c r="C75" i="29"/>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F71" i="29" a="1"/>
  <c r="F71" i="29" s="1"/>
  <c r="D71" i="29"/>
  <c r="C71" i="29"/>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F67" i="29" a="1"/>
  <c r="F67" i="29" s="1"/>
  <c r="D67" i="29"/>
  <c r="C67" i="29"/>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F63" i="29" a="1"/>
  <c r="F63" i="29" s="1"/>
  <c r="D63" i="29"/>
  <c r="C63" i="29"/>
  <c r="Q62" i="29"/>
  <c r="P62" i="29"/>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F59" i="29" a="1"/>
  <c r="F59" i="29" s="1"/>
  <c r="D59" i="29"/>
  <c r="C59" i="29"/>
  <c r="Q58" i="29"/>
  <c r="P58" i="29"/>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F55" i="29" a="1"/>
  <c r="F55" i="29" s="1"/>
  <c r="D55" i="29"/>
  <c r="C55" i="29"/>
  <c r="Q54" i="29"/>
  <c r="P54" i="29"/>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F51" i="29" a="1"/>
  <c r="F51" i="29" s="1"/>
  <c r="D51" i="29"/>
  <c r="C51" i="29"/>
  <c r="Q50" i="29"/>
  <c r="P50" i="29"/>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F47" i="29" a="1"/>
  <c r="F47" i="29" s="1"/>
  <c r="D47" i="29"/>
  <c r="C47" i="29"/>
  <c r="Q46" i="29"/>
  <c r="P46" i="29"/>
  <c r="M46" i="29"/>
  <c r="L46" i="29"/>
  <c r="I46" i="29"/>
  <c r="C46" i="29"/>
  <c r="F46" i="29" s="1" a="1"/>
  <c r="F46" i="29" s="1"/>
  <c r="P45" i="29"/>
  <c r="Q45" i="29" s="1"/>
  <c r="M45" i="29"/>
  <c r="L45" i="29"/>
  <c r="I45" i="29"/>
  <c r="D45" i="29"/>
  <c r="C45" i="29"/>
  <c r="F45" i="29" s="1" a="1"/>
  <c r="F45" i="29" s="1"/>
  <c r="P44" i="29"/>
  <c r="Q44" i="29" s="1"/>
  <c r="M44" i="29"/>
  <c r="L44" i="29"/>
  <c r="I44" i="29"/>
  <c r="C44" i="29"/>
  <c r="F44" i="29" s="1" a="1"/>
  <c r="F44" i="29" s="1"/>
  <c r="P43" i="29"/>
  <c r="Q43" i="29" s="1"/>
  <c r="M43" i="29"/>
  <c r="L43" i="29"/>
  <c r="I43" i="29"/>
  <c r="F43" i="29" a="1"/>
  <c r="F43" i="29" s="1"/>
  <c r="D43" i="29"/>
  <c r="C43" i="29"/>
  <c r="Q42" i="29"/>
  <c r="P42" i="29"/>
  <c r="M42" i="29"/>
  <c r="L42" i="29"/>
  <c r="I42" i="29"/>
  <c r="C42" i="29"/>
  <c r="F42" i="29" s="1" a="1"/>
  <c r="F42" i="29" s="1"/>
  <c r="P41" i="29"/>
  <c r="Q41" i="29" s="1"/>
  <c r="M41" i="29"/>
  <c r="L41" i="29"/>
  <c r="I41" i="29"/>
  <c r="D41" i="29"/>
  <c r="C41" i="29"/>
  <c r="F41" i="29" s="1" a="1"/>
  <c r="F41" i="29" s="1"/>
  <c r="P40" i="29"/>
  <c r="Q40" i="29" s="1"/>
  <c r="M40" i="29"/>
  <c r="L40" i="29"/>
  <c r="I40" i="29"/>
  <c r="C40" i="29"/>
  <c r="F40" i="29" s="1" a="1"/>
  <c r="F40" i="29" s="1"/>
  <c r="P39" i="29"/>
  <c r="Q39" i="29" s="1"/>
  <c r="M39" i="29"/>
  <c r="L39" i="29"/>
  <c r="I39" i="29"/>
  <c r="F39" i="29" a="1"/>
  <c r="F39" i="29" s="1"/>
  <c r="D39" i="29"/>
  <c r="C39" i="29"/>
  <c r="Q38" i="29"/>
  <c r="P38" i="29"/>
  <c r="M38" i="29"/>
  <c r="L38" i="29"/>
  <c r="I38" i="29"/>
  <c r="C38" i="29"/>
  <c r="F38" i="29" s="1" a="1"/>
  <c r="F38" i="29" s="1"/>
  <c r="P37" i="29"/>
  <c r="Q37" i="29" s="1"/>
  <c r="M37" i="29"/>
  <c r="L37" i="29"/>
  <c r="I37" i="29"/>
  <c r="D37" i="29"/>
  <c r="C37" i="29"/>
  <c r="F37" i="29" s="1" a="1"/>
  <c r="F37" i="29" s="1"/>
  <c r="P36" i="29"/>
  <c r="Q36" i="29" s="1"/>
  <c r="M36" i="29"/>
  <c r="L36" i="29"/>
  <c r="I36" i="29"/>
  <c r="F36" i="29" a="1"/>
  <c r="F36" i="29" s="1"/>
  <c r="C36" i="29"/>
  <c r="D36" i="29" s="1"/>
  <c r="P35" i="29"/>
  <c r="Q35" i="29" s="1"/>
  <c r="M35" i="29"/>
  <c r="L35" i="29"/>
  <c r="I35" i="29"/>
  <c r="F35" i="29" a="1"/>
  <c r="F35" i="29" s="1"/>
  <c r="D35" i="29"/>
  <c r="C35" i="29"/>
  <c r="Q34" i="29"/>
  <c r="P34" i="29"/>
  <c r="M34" i="29"/>
  <c r="L34" i="29"/>
  <c r="I34" i="29"/>
  <c r="C34" i="29"/>
  <c r="F34" i="29" s="1" a="1"/>
  <c r="F34" i="29" s="1"/>
  <c r="P33" i="29"/>
  <c r="Q33" i="29" s="1"/>
  <c r="M33" i="29"/>
  <c r="L33" i="29"/>
  <c r="I33" i="29"/>
  <c r="D33" i="29"/>
  <c r="C33" i="29"/>
  <c r="F33" i="29" s="1" a="1"/>
  <c r="F33" i="29" s="1"/>
  <c r="P32" i="29"/>
  <c r="Q32" i="29" s="1"/>
  <c r="M32" i="29"/>
  <c r="L32" i="29"/>
  <c r="I32" i="29"/>
  <c r="F32" i="29" a="1"/>
  <c r="F32" i="29" s="1"/>
  <c r="C32" i="29"/>
  <c r="D32" i="29" s="1"/>
  <c r="P31" i="29"/>
  <c r="Q31" i="29" s="1"/>
  <c r="M31" i="29"/>
  <c r="L31" i="29"/>
  <c r="I31" i="29"/>
  <c r="F31" i="29" a="1"/>
  <c r="F31" i="29" s="1"/>
  <c r="D31" i="29"/>
  <c r="C31" i="29"/>
  <c r="Q30" i="29"/>
  <c r="P30" i="29"/>
  <c r="M30" i="29"/>
  <c r="L30" i="29"/>
  <c r="I30" i="29"/>
  <c r="C30" i="29"/>
  <c r="F30" i="29" s="1" a="1"/>
  <c r="F30" i="29" s="1"/>
  <c r="P29" i="29"/>
  <c r="Q29" i="29" s="1"/>
  <c r="M29" i="29"/>
  <c r="L29" i="29"/>
  <c r="I29" i="29"/>
  <c r="D29" i="29"/>
  <c r="C29" i="29"/>
  <c r="F29" i="29" s="1" a="1"/>
  <c r="F29" i="29" s="1"/>
  <c r="P28" i="29"/>
  <c r="Q28" i="29" s="1"/>
  <c r="M28" i="29"/>
  <c r="L28" i="29"/>
  <c r="I28" i="29"/>
  <c r="F28" i="29" a="1"/>
  <c r="F28" i="29" s="1"/>
  <c r="C28" i="29"/>
  <c r="D28" i="29" s="1"/>
  <c r="P27" i="29"/>
  <c r="Q27" i="29" s="1"/>
  <c r="M27" i="29"/>
  <c r="L27" i="29"/>
  <c r="I27" i="29"/>
  <c r="F27" i="29" a="1"/>
  <c r="F27" i="29" s="1"/>
  <c r="D27" i="29"/>
  <c r="C27" i="29"/>
  <c r="Q26" i="29"/>
  <c r="P26" i="29"/>
  <c r="M26" i="29"/>
  <c r="L26" i="29"/>
  <c r="I26" i="29"/>
  <c r="C26" i="29"/>
  <c r="F26" i="29" s="1" a="1"/>
  <c r="F26" i="29" s="1"/>
  <c r="P25" i="29"/>
  <c r="Q25" i="29" s="1"/>
  <c r="M25" i="29"/>
  <c r="L25" i="29"/>
  <c r="I25" i="29"/>
  <c r="D25" i="29"/>
  <c r="C25" i="29"/>
  <c r="F25" i="29" s="1" a="1"/>
  <c r="F25" i="29" s="1"/>
  <c r="P24" i="29"/>
  <c r="Q24" i="29" s="1"/>
  <c r="M24" i="29"/>
  <c r="L24" i="29"/>
  <c r="I24" i="29"/>
  <c r="F24" i="29" a="1"/>
  <c r="F24" i="29" s="1"/>
  <c r="C24" i="29"/>
  <c r="D24" i="29" s="1"/>
  <c r="P23" i="29"/>
  <c r="Q23" i="29" s="1"/>
  <c r="M23" i="29"/>
  <c r="L23" i="29"/>
  <c r="I23" i="29"/>
  <c r="F23" i="29" a="1"/>
  <c r="F23" i="29" s="1"/>
  <c r="D23" i="29"/>
  <c r="C23" i="29"/>
  <c r="Q22" i="29"/>
  <c r="P22" i="29"/>
  <c r="M22" i="29"/>
  <c r="L22" i="29"/>
  <c r="I22" i="29"/>
  <c r="C22" i="29"/>
  <c r="F22" i="29" s="1" a="1"/>
  <c r="F22" i="29" s="1"/>
  <c r="P21" i="29"/>
  <c r="Q21" i="29" s="1"/>
  <c r="M21" i="29"/>
  <c r="L21" i="29"/>
  <c r="I21" i="29"/>
  <c r="D21" i="29"/>
  <c r="C21" i="29"/>
  <c r="F21" i="29" s="1" a="1"/>
  <c r="F21" i="29" s="1"/>
  <c r="P20" i="29"/>
  <c r="Q20" i="29" s="1"/>
  <c r="M20" i="29"/>
  <c r="L20" i="29"/>
  <c r="I20" i="29"/>
  <c r="F20" i="29" a="1"/>
  <c r="F20" i="29" s="1"/>
  <c r="C20" i="29"/>
  <c r="D20" i="29" s="1"/>
  <c r="P19" i="29"/>
  <c r="Q19" i="29" s="1"/>
  <c r="M19" i="29"/>
  <c r="L19" i="29"/>
  <c r="I19" i="29"/>
  <c r="F19" i="29" a="1"/>
  <c r="F19" i="29" s="1"/>
  <c r="D19" i="29"/>
  <c r="C19" i="29"/>
  <c r="Q18" i="29"/>
  <c r="P18" i="29"/>
  <c r="M18" i="29"/>
  <c r="L18" i="29"/>
  <c r="I18" i="29"/>
  <c r="C18" i="29"/>
  <c r="F18" i="29" s="1" a="1"/>
  <c r="F18" i="29" s="1"/>
  <c r="P17" i="29"/>
  <c r="Q17" i="29" s="1"/>
  <c r="M17" i="29"/>
  <c r="L17" i="29"/>
  <c r="I17" i="29"/>
  <c r="D17" i="29"/>
  <c r="C17" i="29"/>
  <c r="F17" i="29" s="1" a="1"/>
  <c r="F17" i="29" s="1"/>
  <c r="P16" i="29"/>
  <c r="Q16" i="29" s="1"/>
  <c r="M16" i="29"/>
  <c r="L16" i="29"/>
  <c r="Q15" i="29"/>
  <c r="P15" i="29"/>
  <c r="M15" i="29"/>
  <c r="L15" i="29"/>
  <c r="M14" i="29"/>
  <c r="L14" i="29"/>
  <c r="P13" i="29"/>
  <c r="Q13" i="29" s="1"/>
  <c r="M13" i="29"/>
  <c r="L13" i="29"/>
  <c r="Q12" i="29"/>
  <c r="P12" i="29"/>
  <c r="M12" i="29"/>
  <c r="L12" i="29"/>
  <c r="Q11" i="29"/>
  <c r="P11" i="29"/>
  <c r="M11" i="29"/>
  <c r="L11" i="29"/>
  <c r="P10" i="29"/>
  <c r="Q10" i="29" s="1"/>
  <c r="M10" i="29"/>
  <c r="L10" i="29"/>
  <c r="Q9" i="29"/>
  <c r="P9" i="29"/>
  <c r="M9" i="29"/>
  <c r="L9" i="29"/>
  <c r="Q8" i="29"/>
  <c r="P8" i="29"/>
  <c r="M8" i="29"/>
  <c r="L8" i="29"/>
  <c r="P7" i="29"/>
  <c r="Q7" i="29" s="1"/>
  <c r="M7" i="29"/>
  <c r="L7" i="29"/>
  <c r="Q6" i="29"/>
  <c r="P6" i="29"/>
  <c r="M6" i="29"/>
  <c r="L6" i="29"/>
  <c r="D18" i="29" l="1"/>
  <c r="D42" i="29"/>
  <c r="D58" i="29"/>
  <c r="D66" i="29"/>
  <c r="D49" i="29"/>
  <c r="D53" i="29"/>
  <c r="D57" i="29"/>
  <c r="D61" i="29"/>
  <c r="D65" i="29"/>
  <c r="D69" i="29"/>
  <c r="D73" i="29"/>
  <c r="D77" i="29"/>
  <c r="D81" i="29"/>
  <c r="D85" i="29"/>
  <c r="D89" i="29"/>
  <c r="D93" i="29"/>
  <c r="D97" i="29"/>
  <c r="D30" i="29"/>
  <c r="D46" i="29"/>
  <c r="D22" i="29"/>
  <c r="D26" i="29"/>
  <c r="D34" i="29"/>
  <c r="D38" i="29"/>
  <c r="D50" i="29"/>
  <c r="D70" i="29"/>
  <c r="D40" i="29"/>
  <c r="D44" i="29"/>
  <c r="D48" i="29"/>
  <c r="D52" i="29"/>
  <c r="D56" i="29"/>
  <c r="D60" i="29"/>
  <c r="D64" i="29"/>
  <c r="D68" i="29"/>
  <c r="D72" i="29"/>
  <c r="D76" i="29"/>
  <c r="D80" i="29"/>
  <c r="D84" i="29"/>
  <c r="D88" i="29"/>
  <c r="D92" i="29"/>
  <c r="D96" i="29"/>
  <c r="D100" i="29"/>
  <c r="D54" i="29"/>
  <c r="D62" i="29"/>
  <c r="D74" i="29"/>
  <c r="D78" i="29"/>
  <c r="D86" i="29"/>
  <c r="D90" i="29"/>
  <c r="D94" i="29"/>
  <c r="D98" i="29"/>
  <c r="P100" i="27" l="1"/>
  <c r="Q100" i="27" s="1"/>
  <c r="M100" i="27"/>
  <c r="L100" i="27"/>
  <c r="I100" i="27"/>
  <c r="C100" i="27"/>
  <c r="F100" i="27" s="1" a="1"/>
  <c r="F100" i="27" s="1"/>
  <c r="P99" i="27"/>
  <c r="Q99" i="27" s="1"/>
  <c r="M99" i="27"/>
  <c r="L99" i="27"/>
  <c r="I99" i="27"/>
  <c r="C99" i="27"/>
  <c r="F99" i="27" s="1" a="1"/>
  <c r="F99" i="27" s="1"/>
  <c r="Q98" i="27"/>
  <c r="P98" i="27"/>
  <c r="M98" i="27"/>
  <c r="L98" i="27"/>
  <c r="I98" i="27"/>
  <c r="D98" i="27"/>
  <c r="C98" i="27"/>
  <c r="F98" i="27" s="1" a="1"/>
  <c r="F98" i="27" s="1"/>
  <c r="P97" i="27"/>
  <c r="Q97" i="27" s="1"/>
  <c r="M97" i="27"/>
  <c r="L97" i="27"/>
  <c r="I97" i="27"/>
  <c r="D97" i="27"/>
  <c r="C97" i="27"/>
  <c r="F97" i="27" s="1" a="1"/>
  <c r="F97" i="27" s="1"/>
  <c r="P96" i="27"/>
  <c r="Q96" i="27" s="1"/>
  <c r="M96" i="27"/>
  <c r="L96" i="27"/>
  <c r="I96" i="27"/>
  <c r="F96" i="27" a="1"/>
  <c r="F96" i="27" s="1"/>
  <c r="C96" i="27"/>
  <c r="D96" i="27" s="1"/>
  <c r="P95" i="27"/>
  <c r="Q95" i="27" s="1"/>
  <c r="M95" i="27"/>
  <c r="L95" i="27"/>
  <c r="I95" i="27"/>
  <c r="C95" i="27"/>
  <c r="F95" i="27" s="1" a="1"/>
  <c r="F95" i="27" s="1"/>
  <c r="Q94" i="27"/>
  <c r="P94" i="27"/>
  <c r="M94" i="27"/>
  <c r="L94" i="27"/>
  <c r="I94" i="27"/>
  <c r="D94" i="27"/>
  <c r="C94" i="27"/>
  <c r="F94" i="27" s="1" a="1"/>
  <c r="F94" i="27" s="1"/>
  <c r="P93" i="27"/>
  <c r="Q93" i="27" s="1"/>
  <c r="M93" i="27"/>
  <c r="L93" i="27"/>
  <c r="I93" i="27"/>
  <c r="D93" i="27"/>
  <c r="C93" i="27"/>
  <c r="F93" i="27" s="1" a="1"/>
  <c r="F93" i="27" s="1"/>
  <c r="P92" i="27"/>
  <c r="Q92" i="27" s="1"/>
  <c r="M92" i="27"/>
  <c r="L92" i="27"/>
  <c r="I92" i="27"/>
  <c r="F92" i="27" a="1"/>
  <c r="F92" i="27" s="1"/>
  <c r="C92" i="27"/>
  <c r="D92" i="27" s="1"/>
  <c r="P91" i="27"/>
  <c r="Q91" i="27" s="1"/>
  <c r="M91" i="27"/>
  <c r="L91" i="27"/>
  <c r="I91" i="27"/>
  <c r="C91" i="27"/>
  <c r="F91" i="27" s="1" a="1"/>
  <c r="F91" i="27" s="1"/>
  <c r="Q90" i="27"/>
  <c r="P90" i="27"/>
  <c r="M90" i="27"/>
  <c r="L90" i="27"/>
  <c r="I90" i="27"/>
  <c r="D90" i="27"/>
  <c r="C90" i="27"/>
  <c r="F90" i="27" s="1" a="1"/>
  <c r="F90" i="27" s="1"/>
  <c r="P89" i="27"/>
  <c r="Q89" i="27" s="1"/>
  <c r="M89" i="27"/>
  <c r="L89" i="27"/>
  <c r="I89" i="27"/>
  <c r="D89" i="27"/>
  <c r="C89" i="27"/>
  <c r="F89" i="27" s="1" a="1"/>
  <c r="F89" i="27" s="1"/>
  <c r="P88" i="27"/>
  <c r="Q88" i="27" s="1"/>
  <c r="M88" i="27"/>
  <c r="L88" i="27"/>
  <c r="I88" i="27"/>
  <c r="F88" i="27" a="1"/>
  <c r="F88" i="27" s="1"/>
  <c r="C88" i="27"/>
  <c r="D88" i="27" s="1"/>
  <c r="P87" i="27"/>
  <c r="Q87" i="27" s="1"/>
  <c r="M87" i="27"/>
  <c r="L87" i="27"/>
  <c r="I87" i="27"/>
  <c r="C87" i="27"/>
  <c r="F87" i="27" s="1" a="1"/>
  <c r="F87" i="27" s="1"/>
  <c r="Q86" i="27"/>
  <c r="P86" i="27"/>
  <c r="M86" i="27"/>
  <c r="L86" i="27"/>
  <c r="I86" i="27"/>
  <c r="D86" i="27"/>
  <c r="C86" i="27"/>
  <c r="F86" i="27" s="1" a="1"/>
  <c r="F86" i="27" s="1"/>
  <c r="P85" i="27"/>
  <c r="Q85" i="27" s="1"/>
  <c r="M85" i="27"/>
  <c r="L85" i="27"/>
  <c r="I85" i="27"/>
  <c r="D85" i="27"/>
  <c r="C85" i="27"/>
  <c r="F85" i="27" s="1" a="1"/>
  <c r="F85" i="27" s="1"/>
  <c r="P84" i="27"/>
  <c r="Q84" i="27" s="1"/>
  <c r="M84" i="27"/>
  <c r="L84" i="27"/>
  <c r="I84" i="27"/>
  <c r="F84" i="27" a="1"/>
  <c r="F84" i="27" s="1"/>
  <c r="C84" i="27"/>
  <c r="D84" i="27" s="1"/>
  <c r="P83" i="27"/>
  <c r="Q83" i="27" s="1"/>
  <c r="M83" i="27"/>
  <c r="L83" i="27"/>
  <c r="I83" i="27"/>
  <c r="C83" i="27"/>
  <c r="F83" i="27" s="1" a="1"/>
  <c r="F83" i="27" s="1"/>
  <c r="Q82" i="27"/>
  <c r="P82" i="27"/>
  <c r="M82" i="27"/>
  <c r="L82" i="27"/>
  <c r="I82" i="27"/>
  <c r="D82" i="27"/>
  <c r="C82" i="27"/>
  <c r="F82" i="27" s="1" a="1"/>
  <c r="F82" i="27" s="1"/>
  <c r="P81" i="27"/>
  <c r="Q81" i="27" s="1"/>
  <c r="M81" i="27"/>
  <c r="L81" i="27"/>
  <c r="I81" i="27"/>
  <c r="D81" i="27"/>
  <c r="C81" i="27"/>
  <c r="F81" i="27" s="1" a="1"/>
  <c r="F81" i="27" s="1"/>
  <c r="P80" i="27"/>
  <c r="Q80" i="27" s="1"/>
  <c r="M80" i="27"/>
  <c r="L80" i="27"/>
  <c r="I80" i="27"/>
  <c r="F80" i="27" a="1"/>
  <c r="F80" i="27" s="1"/>
  <c r="C80" i="27"/>
  <c r="D80" i="27" s="1"/>
  <c r="P79" i="27"/>
  <c r="Q79" i="27" s="1"/>
  <c r="M79" i="27"/>
  <c r="L79" i="27"/>
  <c r="I79" i="27"/>
  <c r="C79" i="27"/>
  <c r="F79" i="27" s="1" a="1"/>
  <c r="F79" i="27" s="1"/>
  <c r="Q78" i="27"/>
  <c r="P78" i="27"/>
  <c r="M78" i="27"/>
  <c r="L78" i="27"/>
  <c r="I78" i="27"/>
  <c r="D78" i="27"/>
  <c r="C78" i="27"/>
  <c r="F78" i="27" s="1" a="1"/>
  <c r="F78" i="27" s="1"/>
  <c r="P77" i="27"/>
  <c r="Q77" i="27" s="1"/>
  <c r="M77" i="27"/>
  <c r="L77" i="27"/>
  <c r="I77" i="27"/>
  <c r="D77" i="27"/>
  <c r="C77" i="27"/>
  <c r="F77" i="27" s="1" a="1"/>
  <c r="F77" i="27" s="1"/>
  <c r="P76" i="27"/>
  <c r="Q76" i="27" s="1"/>
  <c r="M76" i="27"/>
  <c r="L76" i="27"/>
  <c r="I76" i="27"/>
  <c r="F76" i="27" a="1"/>
  <c r="F76" i="27" s="1"/>
  <c r="C76" i="27"/>
  <c r="D76" i="27" s="1"/>
  <c r="P75" i="27"/>
  <c r="Q75" i="27" s="1"/>
  <c r="M75" i="27"/>
  <c r="L75" i="27"/>
  <c r="I75" i="27"/>
  <c r="C75" i="27"/>
  <c r="F75" i="27" s="1" a="1"/>
  <c r="F75" i="27" s="1"/>
  <c r="Q74" i="27"/>
  <c r="P74" i="27"/>
  <c r="M74" i="27"/>
  <c r="L74" i="27"/>
  <c r="I74" i="27"/>
  <c r="D74" i="27"/>
  <c r="C74" i="27"/>
  <c r="F74" i="27" s="1" a="1"/>
  <c r="F74" i="27" s="1"/>
  <c r="P73" i="27"/>
  <c r="Q73" i="27" s="1"/>
  <c r="M73" i="27"/>
  <c r="L73" i="27"/>
  <c r="I73" i="27"/>
  <c r="D73" i="27"/>
  <c r="C73" i="27"/>
  <c r="F73" i="27" s="1" a="1"/>
  <c r="F73" i="27" s="1"/>
  <c r="P72" i="27"/>
  <c r="Q72" i="27" s="1"/>
  <c r="M72" i="27"/>
  <c r="L72" i="27"/>
  <c r="I72" i="27"/>
  <c r="F72" i="27" a="1"/>
  <c r="F72" i="27" s="1"/>
  <c r="C72" i="27"/>
  <c r="D72" i="27" s="1"/>
  <c r="P71" i="27"/>
  <c r="Q71" i="27" s="1"/>
  <c r="M71" i="27"/>
  <c r="L71" i="27"/>
  <c r="I71" i="27"/>
  <c r="C71" i="27"/>
  <c r="F71" i="27" s="1" a="1"/>
  <c r="F71" i="27" s="1"/>
  <c r="Q70" i="27"/>
  <c r="P70" i="27"/>
  <c r="M70" i="27"/>
  <c r="L70" i="27"/>
  <c r="I70" i="27"/>
  <c r="D70" i="27"/>
  <c r="C70" i="27"/>
  <c r="F70" i="27" s="1" a="1"/>
  <c r="F70" i="27" s="1"/>
  <c r="P69" i="27"/>
  <c r="Q69" i="27" s="1"/>
  <c r="M69" i="27"/>
  <c r="L69" i="27"/>
  <c r="I69" i="27"/>
  <c r="D69" i="27"/>
  <c r="C69" i="27"/>
  <c r="F69" i="27" s="1" a="1"/>
  <c r="F69" i="27" s="1"/>
  <c r="P68" i="27"/>
  <c r="Q68" i="27" s="1"/>
  <c r="M68" i="27"/>
  <c r="L68" i="27"/>
  <c r="I68" i="27"/>
  <c r="F68" i="27" a="1"/>
  <c r="F68" i="27" s="1"/>
  <c r="C68" i="27"/>
  <c r="D68" i="27" s="1"/>
  <c r="P67" i="27"/>
  <c r="Q67" i="27" s="1"/>
  <c r="M67" i="27"/>
  <c r="L67" i="27"/>
  <c r="I67" i="27"/>
  <c r="C67" i="27"/>
  <c r="F67" i="27" s="1" a="1"/>
  <c r="F67" i="27" s="1"/>
  <c r="Q66" i="27"/>
  <c r="P66" i="27"/>
  <c r="M66" i="27"/>
  <c r="L66" i="27"/>
  <c r="I66" i="27"/>
  <c r="D66" i="27"/>
  <c r="C66" i="27"/>
  <c r="F66" i="27" s="1" a="1"/>
  <c r="F66" i="27" s="1"/>
  <c r="P65" i="27"/>
  <c r="Q65" i="27" s="1"/>
  <c r="M65" i="27"/>
  <c r="L65" i="27"/>
  <c r="I65" i="27"/>
  <c r="D65" i="27"/>
  <c r="C65" i="27"/>
  <c r="F65" i="27" s="1" a="1"/>
  <c r="F65" i="27" s="1"/>
  <c r="P64" i="27"/>
  <c r="Q64" i="27" s="1"/>
  <c r="M64" i="27"/>
  <c r="L64" i="27"/>
  <c r="I64" i="27"/>
  <c r="F64" i="27" a="1"/>
  <c r="F64" i="27" s="1"/>
  <c r="C64" i="27"/>
  <c r="D64" i="27" s="1"/>
  <c r="P63" i="27"/>
  <c r="Q63" i="27" s="1"/>
  <c r="M63" i="27"/>
  <c r="L63" i="27"/>
  <c r="I63" i="27"/>
  <c r="C63" i="27"/>
  <c r="F63" i="27" s="1" a="1"/>
  <c r="F63" i="27" s="1"/>
  <c r="Q62" i="27"/>
  <c r="P62" i="27"/>
  <c r="M62" i="27"/>
  <c r="L62" i="27"/>
  <c r="I62" i="27"/>
  <c r="D62" i="27"/>
  <c r="C62" i="27"/>
  <c r="F62" i="27" s="1" a="1"/>
  <c r="F62" i="27" s="1"/>
  <c r="P61" i="27"/>
  <c r="Q61" i="27" s="1"/>
  <c r="M61" i="27"/>
  <c r="L61" i="27"/>
  <c r="I61" i="27"/>
  <c r="D61" i="27"/>
  <c r="C61" i="27"/>
  <c r="F61" i="27" s="1" a="1"/>
  <c r="F61" i="27" s="1"/>
  <c r="P60" i="27"/>
  <c r="Q60" i="27" s="1"/>
  <c r="M60" i="27"/>
  <c r="L60" i="27"/>
  <c r="I60" i="27"/>
  <c r="F60" i="27" a="1"/>
  <c r="F60" i="27" s="1"/>
  <c r="C60" i="27"/>
  <c r="D60" i="27" s="1"/>
  <c r="P59" i="27"/>
  <c r="Q59" i="27" s="1"/>
  <c r="M59" i="27"/>
  <c r="L59" i="27"/>
  <c r="I59" i="27"/>
  <c r="C59" i="27"/>
  <c r="F59" i="27" s="1" a="1"/>
  <c r="F59" i="27" s="1"/>
  <c r="Q58" i="27"/>
  <c r="P58" i="27"/>
  <c r="M58" i="27"/>
  <c r="L58" i="27"/>
  <c r="I58" i="27"/>
  <c r="D58" i="27"/>
  <c r="C58" i="27"/>
  <c r="F58" i="27" s="1" a="1"/>
  <c r="F58" i="27" s="1"/>
  <c r="P57" i="27"/>
  <c r="Q57" i="27" s="1"/>
  <c r="M57" i="27"/>
  <c r="L57" i="27"/>
  <c r="I57" i="27"/>
  <c r="D57" i="27"/>
  <c r="C57" i="27"/>
  <c r="F57" i="27" s="1" a="1"/>
  <c r="F57" i="27" s="1"/>
  <c r="P56" i="27"/>
  <c r="Q56" i="27" s="1"/>
  <c r="M56" i="27"/>
  <c r="L56" i="27"/>
  <c r="I56" i="27"/>
  <c r="F56" i="27" a="1"/>
  <c r="F56" i="27" s="1"/>
  <c r="C56" i="27"/>
  <c r="D56" i="27" s="1"/>
  <c r="P55" i="27"/>
  <c r="Q55" i="27" s="1"/>
  <c r="M55" i="27"/>
  <c r="L55" i="27"/>
  <c r="I55" i="27"/>
  <c r="C55" i="27"/>
  <c r="F55" i="27" s="1" a="1"/>
  <c r="F55" i="27" s="1"/>
  <c r="Q54" i="27"/>
  <c r="P54" i="27"/>
  <c r="M54" i="27"/>
  <c r="L54" i="27"/>
  <c r="I54" i="27"/>
  <c r="D54" i="27"/>
  <c r="C54" i="27"/>
  <c r="F54" i="27" s="1" a="1"/>
  <c r="F54" i="27" s="1"/>
  <c r="P53" i="27"/>
  <c r="Q53" i="27" s="1"/>
  <c r="M53" i="27"/>
  <c r="L53" i="27"/>
  <c r="I53" i="27"/>
  <c r="D53" i="27"/>
  <c r="C53" i="27"/>
  <c r="F53" i="27" s="1" a="1"/>
  <c r="F53" i="27" s="1"/>
  <c r="P52" i="27"/>
  <c r="Q52" i="27" s="1"/>
  <c r="M52" i="27"/>
  <c r="L52" i="27"/>
  <c r="I52" i="27"/>
  <c r="F52" i="27" a="1"/>
  <c r="F52" i="27" s="1"/>
  <c r="C52" i="27"/>
  <c r="D52" i="27" s="1"/>
  <c r="P51" i="27"/>
  <c r="Q51" i="27" s="1"/>
  <c r="M51" i="27"/>
  <c r="L51" i="27"/>
  <c r="I51" i="27"/>
  <c r="C51" i="27"/>
  <c r="F51" i="27" s="1" a="1"/>
  <c r="F51" i="27" s="1"/>
  <c r="Q50" i="27"/>
  <c r="P50" i="27"/>
  <c r="M50" i="27"/>
  <c r="L50" i="27"/>
  <c r="I50" i="27"/>
  <c r="D50" i="27"/>
  <c r="C50" i="27"/>
  <c r="F50" i="27" s="1" a="1"/>
  <c r="F50" i="27" s="1"/>
  <c r="P49" i="27"/>
  <c r="Q49" i="27" s="1"/>
  <c r="M49" i="27"/>
  <c r="L49" i="27"/>
  <c r="I49" i="27"/>
  <c r="D49" i="27"/>
  <c r="C49" i="27"/>
  <c r="F49" i="27" s="1" a="1"/>
  <c r="F49" i="27" s="1"/>
  <c r="P48" i="27"/>
  <c r="Q48" i="27" s="1"/>
  <c r="M48" i="27"/>
  <c r="L48" i="27"/>
  <c r="I48" i="27"/>
  <c r="F48" i="27" a="1"/>
  <c r="F48" i="27" s="1"/>
  <c r="C48" i="27"/>
  <c r="D48" i="27" s="1"/>
  <c r="P47" i="27"/>
  <c r="Q47" i="27" s="1"/>
  <c r="M47" i="27"/>
  <c r="L47" i="27"/>
  <c r="I47" i="27"/>
  <c r="C47" i="27"/>
  <c r="F47" i="27" s="1" a="1"/>
  <c r="F47" i="27" s="1"/>
  <c r="Q46" i="27"/>
  <c r="P46" i="27"/>
  <c r="M46" i="27"/>
  <c r="L46" i="27"/>
  <c r="I46" i="27"/>
  <c r="D46" i="27"/>
  <c r="C46" i="27"/>
  <c r="F46" i="27" s="1" a="1"/>
  <c r="F46" i="27" s="1"/>
  <c r="P45" i="27"/>
  <c r="Q45" i="27" s="1"/>
  <c r="M45" i="27"/>
  <c r="L45" i="27"/>
  <c r="I45" i="27"/>
  <c r="D45" i="27"/>
  <c r="C45" i="27"/>
  <c r="F45" i="27" s="1" a="1"/>
  <c r="F45" i="27" s="1"/>
  <c r="P44" i="27"/>
  <c r="Q44" i="27" s="1"/>
  <c r="M44" i="27"/>
  <c r="L44" i="27"/>
  <c r="I44" i="27"/>
  <c r="F44" i="27" a="1"/>
  <c r="F44" i="27" s="1"/>
  <c r="C44" i="27"/>
  <c r="D44" i="27" s="1"/>
  <c r="P43" i="27"/>
  <c r="Q43" i="27" s="1"/>
  <c r="M43" i="27"/>
  <c r="L43" i="27"/>
  <c r="I43" i="27"/>
  <c r="C43" i="27"/>
  <c r="F43" i="27" s="1" a="1"/>
  <c r="F43" i="27" s="1"/>
  <c r="Q42" i="27"/>
  <c r="P42" i="27"/>
  <c r="M42" i="27"/>
  <c r="L42" i="27"/>
  <c r="I42" i="27"/>
  <c r="D42" i="27"/>
  <c r="C42" i="27"/>
  <c r="F42" i="27" s="1" a="1"/>
  <c r="F42" i="27" s="1"/>
  <c r="P41" i="27"/>
  <c r="Q41" i="27" s="1"/>
  <c r="M41" i="27"/>
  <c r="L41" i="27"/>
  <c r="I41" i="27"/>
  <c r="D41" i="27"/>
  <c r="C41" i="27"/>
  <c r="F41" i="27" s="1" a="1"/>
  <c r="F41" i="27" s="1"/>
  <c r="P40" i="27"/>
  <c r="Q40" i="27" s="1"/>
  <c r="M40" i="27"/>
  <c r="L40" i="27"/>
  <c r="I40" i="27"/>
  <c r="F40" i="27" a="1"/>
  <c r="F40" i="27" s="1"/>
  <c r="C40" i="27"/>
  <c r="D40" i="27" s="1"/>
  <c r="P39" i="27"/>
  <c r="Q39" i="27" s="1"/>
  <c r="M39" i="27"/>
  <c r="L39" i="27"/>
  <c r="I39" i="27"/>
  <c r="C39" i="27"/>
  <c r="F39" i="27" s="1" a="1"/>
  <c r="F39" i="27" s="1"/>
  <c r="Q38" i="27"/>
  <c r="P38" i="27"/>
  <c r="M38" i="27"/>
  <c r="L38" i="27"/>
  <c r="I38" i="27"/>
  <c r="D38" i="27"/>
  <c r="C38" i="27"/>
  <c r="F38" i="27" s="1" a="1"/>
  <c r="F38" i="27" s="1"/>
  <c r="P37" i="27"/>
  <c r="Q37" i="27" s="1"/>
  <c r="M37" i="27"/>
  <c r="L37" i="27"/>
  <c r="I37" i="27"/>
  <c r="D37" i="27"/>
  <c r="C37" i="27"/>
  <c r="F37" i="27" s="1" a="1"/>
  <c r="F37" i="27" s="1"/>
  <c r="P36" i="27"/>
  <c r="Q36" i="27" s="1"/>
  <c r="M36" i="27"/>
  <c r="L36" i="27"/>
  <c r="I36" i="27"/>
  <c r="F36" i="27" a="1"/>
  <c r="F36" i="27" s="1"/>
  <c r="C36" i="27"/>
  <c r="D36" i="27" s="1"/>
  <c r="P35" i="27"/>
  <c r="Q35" i="27" s="1"/>
  <c r="M35" i="27"/>
  <c r="L35" i="27"/>
  <c r="I35" i="27"/>
  <c r="C35" i="27"/>
  <c r="F35" i="27" s="1" a="1"/>
  <c r="F35" i="27" s="1"/>
  <c r="Q34" i="27"/>
  <c r="P34" i="27"/>
  <c r="M34" i="27"/>
  <c r="L34" i="27"/>
  <c r="I34" i="27"/>
  <c r="D34" i="27"/>
  <c r="C34" i="27"/>
  <c r="F34" i="27" s="1" a="1"/>
  <c r="F34" i="27" s="1"/>
  <c r="P33" i="27"/>
  <c r="Q33" i="27" s="1"/>
  <c r="M33" i="27"/>
  <c r="L33" i="27"/>
  <c r="I33" i="27"/>
  <c r="D33" i="27"/>
  <c r="C33" i="27"/>
  <c r="F33" i="27" s="1" a="1"/>
  <c r="F33" i="27" s="1"/>
  <c r="P32" i="27"/>
  <c r="Q32" i="27" s="1"/>
  <c r="M32" i="27"/>
  <c r="L32" i="27"/>
  <c r="I32" i="27"/>
  <c r="F32" i="27" a="1"/>
  <c r="F32" i="27" s="1"/>
  <c r="C32" i="27"/>
  <c r="D32" i="27" s="1"/>
  <c r="P31" i="27"/>
  <c r="Q31" i="27" s="1"/>
  <c r="M31" i="27"/>
  <c r="L31" i="27"/>
  <c r="I31" i="27"/>
  <c r="C31" i="27"/>
  <c r="F31" i="27" s="1" a="1"/>
  <c r="F31" i="27" s="1"/>
  <c r="Q30" i="27"/>
  <c r="P30" i="27"/>
  <c r="M30" i="27"/>
  <c r="L30" i="27"/>
  <c r="I30" i="27"/>
  <c r="D30" i="27"/>
  <c r="C30" i="27"/>
  <c r="F30" i="27" s="1" a="1"/>
  <c r="F30" i="27" s="1"/>
  <c r="P29" i="27"/>
  <c r="Q29" i="27" s="1"/>
  <c r="M29" i="27"/>
  <c r="L29" i="27"/>
  <c r="I29" i="27"/>
  <c r="D29" i="27"/>
  <c r="C29" i="27"/>
  <c r="F29" i="27" s="1" a="1"/>
  <c r="F29" i="27" s="1"/>
  <c r="P28" i="27"/>
  <c r="Q28" i="27" s="1"/>
  <c r="M28" i="27"/>
  <c r="L28" i="27"/>
  <c r="I28" i="27"/>
  <c r="F28" i="27" a="1"/>
  <c r="F28" i="27" s="1"/>
  <c r="C28" i="27"/>
  <c r="D28" i="27" s="1"/>
  <c r="P27" i="27"/>
  <c r="Q27" i="27" s="1"/>
  <c r="M27" i="27"/>
  <c r="L27" i="27"/>
  <c r="I27" i="27"/>
  <c r="C27" i="27"/>
  <c r="F27" i="27" s="1" a="1"/>
  <c r="F27" i="27" s="1"/>
  <c r="Q26" i="27"/>
  <c r="P26" i="27"/>
  <c r="M26" i="27"/>
  <c r="L26" i="27"/>
  <c r="I26" i="27"/>
  <c r="D26" i="27"/>
  <c r="C26" i="27"/>
  <c r="F26" i="27" s="1" a="1"/>
  <c r="F26" i="27" s="1"/>
  <c r="P25" i="27"/>
  <c r="Q25" i="27" s="1"/>
  <c r="M25" i="27"/>
  <c r="L25" i="27"/>
  <c r="I25" i="27"/>
  <c r="D25" i="27"/>
  <c r="C25" i="27"/>
  <c r="F25" i="27" s="1" a="1"/>
  <c r="F25" i="27" s="1"/>
  <c r="P24" i="27"/>
  <c r="Q24" i="27" s="1"/>
  <c r="M24" i="27"/>
  <c r="L24" i="27"/>
  <c r="I24" i="27"/>
  <c r="F24" i="27" a="1"/>
  <c r="F24" i="27" s="1"/>
  <c r="C24" i="27"/>
  <c r="D24" i="27" s="1"/>
  <c r="P23" i="27"/>
  <c r="Q23" i="27" s="1"/>
  <c r="M23" i="27"/>
  <c r="L23" i="27"/>
  <c r="I23" i="27"/>
  <c r="C23" i="27"/>
  <c r="F23" i="27" s="1" a="1"/>
  <c r="F23" i="27" s="1"/>
  <c r="Q22" i="27"/>
  <c r="P22" i="27"/>
  <c r="M22" i="27"/>
  <c r="L22" i="27"/>
  <c r="I22" i="27"/>
  <c r="D22" i="27"/>
  <c r="C22" i="27"/>
  <c r="F22" i="27" s="1" a="1"/>
  <c r="F22" i="27" s="1"/>
  <c r="P21" i="27"/>
  <c r="Q21" i="27" s="1"/>
  <c r="M21" i="27"/>
  <c r="L21" i="27"/>
  <c r="I21" i="27"/>
  <c r="D21" i="27"/>
  <c r="C21" i="27"/>
  <c r="F21" i="27" s="1" a="1"/>
  <c r="F21" i="27" s="1"/>
  <c r="P20" i="27"/>
  <c r="Q20" i="27" s="1"/>
  <c r="M20" i="27"/>
  <c r="L20" i="27"/>
  <c r="I20" i="27"/>
  <c r="F20" i="27" a="1"/>
  <c r="F20" i="27" s="1"/>
  <c r="C20" i="27"/>
  <c r="D20" i="27" s="1"/>
  <c r="P19" i="27"/>
  <c r="Q19" i="27" s="1"/>
  <c r="M19" i="27"/>
  <c r="L19" i="27"/>
  <c r="I19" i="27"/>
  <c r="C19" i="27"/>
  <c r="F19" i="27" s="1" a="1"/>
  <c r="F19" i="27" s="1"/>
  <c r="Q18" i="27"/>
  <c r="P18" i="27"/>
  <c r="M18" i="27"/>
  <c r="L18" i="27"/>
  <c r="I18" i="27"/>
  <c r="D18" i="27"/>
  <c r="C18" i="27"/>
  <c r="F18" i="27" s="1" a="1"/>
  <c r="F18" i="27" s="1"/>
  <c r="P17" i="27"/>
  <c r="Q17" i="27" s="1"/>
  <c r="M17" i="27"/>
  <c r="L17" i="27"/>
  <c r="I17" i="27"/>
  <c r="D17" i="27"/>
  <c r="C17" i="27"/>
  <c r="F17" i="27" s="1" a="1"/>
  <c r="F17" i="27" s="1"/>
  <c r="P16" i="27"/>
  <c r="Q16" i="27" s="1"/>
  <c r="M16" i="27"/>
  <c r="L16" i="27"/>
  <c r="I16" i="27"/>
  <c r="F16" i="27" a="1"/>
  <c r="F16" i="27" s="1"/>
  <c r="C16" i="27"/>
  <c r="D16" i="27" s="1"/>
  <c r="P15" i="27"/>
  <c r="Q15" i="27" s="1"/>
  <c r="M15" i="27"/>
  <c r="L15" i="27"/>
  <c r="I15" i="27"/>
  <c r="C15" i="27"/>
  <c r="F15" i="27" s="1" a="1"/>
  <c r="F15" i="27" s="1"/>
  <c r="Q14" i="27"/>
  <c r="P14" i="27"/>
  <c r="M14" i="27"/>
  <c r="L14" i="27"/>
  <c r="I14" i="27"/>
  <c r="D14" i="27"/>
  <c r="C14" i="27"/>
  <c r="F14" i="27" s="1" a="1"/>
  <c r="F14" i="27" s="1"/>
  <c r="P13" i="27"/>
  <c r="Q13" i="27" s="1"/>
  <c r="M13" i="27"/>
  <c r="L13" i="27"/>
  <c r="I13" i="27"/>
  <c r="D13" i="27"/>
  <c r="C13" i="27"/>
  <c r="F13" i="27" s="1" a="1"/>
  <c r="F13" i="27" s="1"/>
  <c r="P12" i="27"/>
  <c r="Q12" i="27" s="1"/>
  <c r="M12" i="27"/>
  <c r="L12" i="27"/>
  <c r="I12" i="27"/>
  <c r="F12" i="27" a="1"/>
  <c r="F12" i="27" s="1"/>
  <c r="C12" i="27"/>
  <c r="D12" i="27" s="1"/>
  <c r="P11" i="27"/>
  <c r="Q11" i="27" s="1"/>
  <c r="M11" i="27"/>
  <c r="L11" i="27"/>
  <c r="I11" i="27"/>
  <c r="C11" i="27"/>
  <c r="F11" i="27" s="1" a="1"/>
  <c r="F11" i="27" s="1"/>
  <c r="Q10" i="27"/>
  <c r="P10" i="27"/>
  <c r="M10" i="27"/>
  <c r="L10" i="27"/>
  <c r="I10" i="27"/>
  <c r="D10" i="27"/>
  <c r="C10" i="27"/>
  <c r="F10" i="27" s="1" a="1"/>
  <c r="F10" i="27" s="1"/>
  <c r="P9" i="27"/>
  <c r="Q9" i="27" s="1"/>
  <c r="M9" i="27"/>
  <c r="L9" i="27"/>
  <c r="I9" i="27"/>
  <c r="Q8" i="27"/>
  <c r="P8" i="27"/>
  <c r="M8" i="27"/>
  <c r="L8" i="27"/>
  <c r="I8" i="27"/>
  <c r="Q7" i="27"/>
  <c r="P7" i="27"/>
  <c r="M7" i="27"/>
  <c r="L7" i="27"/>
  <c r="I7" i="27"/>
  <c r="Q6" i="27"/>
  <c r="P6" i="27"/>
  <c r="M6" i="27"/>
  <c r="L6" i="27"/>
  <c r="I6" i="27"/>
  <c r="P100" i="26"/>
  <c r="Q100" i="26" s="1"/>
  <c r="M100" i="26"/>
  <c r="L100" i="26"/>
  <c r="I100" i="26"/>
  <c r="C100" i="26"/>
  <c r="F100" i="26" s="1" a="1"/>
  <c r="F100" i="26" s="1"/>
  <c r="P99" i="26"/>
  <c r="Q99" i="26" s="1"/>
  <c r="M99" i="26"/>
  <c r="L99" i="26"/>
  <c r="I99" i="26"/>
  <c r="C99" i="26"/>
  <c r="F99" i="26" s="1" a="1"/>
  <c r="F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C95" i="26"/>
  <c r="F95" i="26" s="1" a="1"/>
  <c r="F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F57" i="26" a="1"/>
  <c r="F57" i="26" s="1"/>
  <c r="D57" i="26"/>
  <c r="C57" i="26"/>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F53" i="26" a="1"/>
  <c r="F53" i="26" s="1"/>
  <c r="D53" i="26"/>
  <c r="C53" i="26"/>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F49" i="26" a="1"/>
  <c r="F49" i="26" s="1"/>
  <c r="D49" i="26"/>
  <c r="C49" i="26"/>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F45" i="26" a="1"/>
  <c r="F45" i="26" s="1"/>
  <c r="D45" i="26"/>
  <c r="C45" i="26"/>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F41" i="26" a="1"/>
  <c r="F41" i="26" s="1"/>
  <c r="D41" i="26"/>
  <c r="C41" i="26"/>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F37" i="26" a="1"/>
  <c r="F37" i="26" s="1"/>
  <c r="D37" i="26"/>
  <c r="C37" i="26"/>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F33" i="26" a="1"/>
  <c r="F33" i="26" s="1"/>
  <c r="D33" i="26"/>
  <c r="C33" i="26"/>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F29" i="26" a="1"/>
  <c r="F29" i="26" s="1"/>
  <c r="D29" i="26"/>
  <c r="C29" i="26"/>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F25" i="26" a="1"/>
  <c r="F25" i="26" s="1"/>
  <c r="D25" i="26"/>
  <c r="C25" i="26"/>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F21" i="26" a="1"/>
  <c r="F21" i="26" s="1"/>
  <c r="D21" i="26"/>
  <c r="C21" i="26"/>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F17" i="26" a="1"/>
  <c r="F17" i="26" s="1"/>
  <c r="D17" i="26"/>
  <c r="C17" i="26"/>
  <c r="P16" i="26"/>
  <c r="Q16" i="26" s="1"/>
  <c r="M16" i="26"/>
  <c r="L16" i="26"/>
  <c r="I16" i="26"/>
  <c r="C16" i="26"/>
  <c r="F16" i="26" s="1" a="1"/>
  <c r="F16" i="26" s="1"/>
  <c r="P15" i="26"/>
  <c r="Q15" i="26" s="1"/>
  <c r="M15" i="26"/>
  <c r="L15" i="26"/>
  <c r="I15" i="26"/>
  <c r="F15" i="26" a="1"/>
  <c r="F15" i="26" s="1"/>
  <c r="C15" i="26"/>
  <c r="D15" i="26" s="1"/>
  <c r="P14" i="26"/>
  <c r="Q14" i="26" s="1"/>
  <c r="M14" i="26"/>
  <c r="L14" i="26"/>
  <c r="I14" i="26"/>
  <c r="C14" i="26"/>
  <c r="F14" i="26" s="1" a="1"/>
  <c r="F14" i="26" s="1"/>
  <c r="Q13" i="26"/>
  <c r="P13" i="26"/>
  <c r="M13" i="26"/>
  <c r="L13" i="26"/>
  <c r="I13" i="26"/>
  <c r="F13" i="26" a="1"/>
  <c r="F13" i="26" s="1"/>
  <c r="D13" i="26"/>
  <c r="C13" i="26"/>
  <c r="P12" i="26"/>
  <c r="Q12" i="26" s="1"/>
  <c r="M12" i="26"/>
  <c r="L12" i="26"/>
  <c r="I12" i="26"/>
  <c r="C12" i="26"/>
  <c r="F12" i="26" s="1" a="1"/>
  <c r="F12" i="26" s="1"/>
  <c r="P11" i="26"/>
  <c r="Q11" i="26" s="1"/>
  <c r="M11" i="26"/>
  <c r="L11" i="26"/>
  <c r="I11" i="26"/>
  <c r="F11" i="26" a="1"/>
  <c r="F11" i="26" s="1"/>
  <c r="C11" i="26"/>
  <c r="D11" i="26" s="1"/>
  <c r="P10" i="26"/>
  <c r="Q10" i="26" s="1"/>
  <c r="M10" i="26"/>
  <c r="L10" i="26"/>
  <c r="I10" i="26"/>
  <c r="C10" i="26"/>
  <c r="F10" i="26" s="1" a="1"/>
  <c r="F10" i="26" s="1"/>
  <c r="Q9" i="26"/>
  <c r="P9" i="26"/>
  <c r="M9" i="26"/>
  <c r="L9" i="26"/>
  <c r="I9" i="26"/>
  <c r="F9" i="26" a="1"/>
  <c r="F9" i="26" s="1"/>
  <c r="D9" i="26"/>
  <c r="C9" i="26"/>
  <c r="P8" i="26"/>
  <c r="Q8" i="26" s="1"/>
  <c r="M8" i="26"/>
  <c r="L8" i="26"/>
  <c r="I8" i="26"/>
  <c r="Q7" i="26"/>
  <c r="P7" i="26"/>
  <c r="I7" i="26"/>
  <c r="P6" i="26"/>
  <c r="Q6" i="26" s="1"/>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D65" i="25"/>
  <c r="C65" i="25"/>
  <c r="F65" i="25" s="1" a="1"/>
  <c r="F65" i="25" s="1"/>
  <c r="Q64" i="25"/>
  <c r="P64" i="25"/>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D61" i="25"/>
  <c r="C61" i="25"/>
  <c r="F61" i="25" s="1" a="1"/>
  <c r="F61" i="25" s="1"/>
  <c r="Q60" i="25"/>
  <c r="P60" i="25"/>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F54" i="25" a="1"/>
  <c r="F54" i="25" s="1"/>
  <c r="C54" i="25"/>
  <c r="D54" i="25" s="1"/>
  <c r="P53" i="25"/>
  <c r="Q53" i="25" s="1"/>
  <c r="M53" i="25"/>
  <c r="L53" i="25"/>
  <c r="I53" i="25"/>
  <c r="D53" i="25"/>
  <c r="C53" i="25"/>
  <c r="F53" i="25" s="1" a="1"/>
  <c r="F53" i="25" s="1"/>
  <c r="Q52" i="25"/>
  <c r="P52" i="25"/>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F46" i="25" a="1"/>
  <c r="F46" i="25" s="1"/>
  <c r="C46" i="25"/>
  <c r="D46" i="25" s="1"/>
  <c r="P45" i="25"/>
  <c r="Q45" i="25" s="1"/>
  <c r="M45" i="25"/>
  <c r="L45" i="25"/>
  <c r="I45" i="25"/>
  <c r="D45" i="25"/>
  <c r="C45" i="25"/>
  <c r="F45" i="25" s="1" a="1"/>
  <c r="F45" i="25" s="1"/>
  <c r="Q44" i="25"/>
  <c r="P44" i="25"/>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D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F38" i="25" a="1"/>
  <c r="F38" i="25" s="1"/>
  <c r="C38" i="25"/>
  <c r="D38" i="25" s="1"/>
  <c r="P37" i="25"/>
  <c r="Q37" i="25" s="1"/>
  <c r="M37" i="25"/>
  <c r="L37" i="25"/>
  <c r="I37" i="25"/>
  <c r="D37" i="25"/>
  <c r="C37" i="25"/>
  <c r="F37" i="25" s="1" a="1"/>
  <c r="F37" i="25" s="1"/>
  <c r="Q36" i="25"/>
  <c r="P36" i="25"/>
  <c r="M36" i="25"/>
  <c r="L36" i="25"/>
  <c r="I36" i="25"/>
  <c r="C36" i="25"/>
  <c r="F36" i="25" s="1" a="1"/>
  <c r="F36" i="25" s="1"/>
  <c r="P35" i="25"/>
  <c r="Q35" i="25" s="1"/>
  <c r="M35" i="25"/>
  <c r="L35" i="25"/>
  <c r="I35" i="25"/>
  <c r="C35" i="25"/>
  <c r="F35" i="25" s="1" a="1"/>
  <c r="F35" i="25" s="1"/>
  <c r="P34" i="25"/>
  <c r="Q34" i="25" s="1"/>
  <c r="M34" i="25"/>
  <c r="L34" i="25"/>
  <c r="I34" i="25"/>
  <c r="F34" i="25" a="1"/>
  <c r="F34" i="25" s="1"/>
  <c r="C34" i="25"/>
  <c r="D34" i="25" s="1"/>
  <c r="P33" i="25"/>
  <c r="Q33" i="25" s="1"/>
  <c r="M33" i="25"/>
  <c r="L33" i="25"/>
  <c r="I33" i="25"/>
  <c r="D33" i="25"/>
  <c r="C33" i="25"/>
  <c r="F33" i="25" s="1" a="1"/>
  <c r="F33" i="25" s="1"/>
  <c r="Q32" i="25"/>
  <c r="P32" i="25"/>
  <c r="M32" i="25"/>
  <c r="L32" i="25"/>
  <c r="I32" i="25"/>
  <c r="C32" i="25"/>
  <c r="F32" i="25" s="1" a="1"/>
  <c r="F32" i="25" s="1"/>
  <c r="P31" i="25"/>
  <c r="Q31" i="25" s="1"/>
  <c r="M31" i="25"/>
  <c r="L31" i="25"/>
  <c r="I31" i="25"/>
  <c r="C31" i="25"/>
  <c r="F31" i="25" s="1" a="1"/>
  <c r="F31" i="25" s="1"/>
  <c r="P30" i="25"/>
  <c r="Q30" i="25" s="1"/>
  <c r="M30" i="25"/>
  <c r="L30" i="25"/>
  <c r="I30" i="25"/>
  <c r="F30" i="25" a="1"/>
  <c r="F30" i="25" s="1"/>
  <c r="C30" i="25"/>
  <c r="D30" i="25" s="1"/>
  <c r="P29" i="25"/>
  <c r="Q29" i="25" s="1"/>
  <c r="M29" i="25"/>
  <c r="L29" i="25"/>
  <c r="I29" i="25"/>
  <c r="D29" i="25"/>
  <c r="C29" i="25"/>
  <c r="F29" i="25" s="1" a="1"/>
  <c r="F29" i="25" s="1"/>
  <c r="Q28" i="25"/>
  <c r="P28" i="25"/>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F22" i="25" a="1"/>
  <c r="F22" i="25" s="1"/>
  <c r="C22" i="25"/>
  <c r="D22" i="25" s="1"/>
  <c r="P21" i="25"/>
  <c r="Q21" i="25" s="1"/>
  <c r="M21" i="25"/>
  <c r="L21" i="25"/>
  <c r="I21" i="25"/>
  <c r="D21" i="25"/>
  <c r="C21" i="25"/>
  <c r="F21" i="25" s="1" a="1"/>
  <c r="F21" i="25" s="1"/>
  <c r="Q20" i="25"/>
  <c r="P20" i="25"/>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F14" i="25" a="1"/>
  <c r="F14" i="25" s="1"/>
  <c r="C14" i="25"/>
  <c r="D14" i="25" s="1"/>
  <c r="P13" i="25"/>
  <c r="Q13" i="25" s="1"/>
  <c r="M13" i="25"/>
  <c r="L13" i="25"/>
  <c r="I13" i="25"/>
  <c r="D13" i="25"/>
  <c r="C13" i="25"/>
  <c r="F13" i="25" s="1" a="1"/>
  <c r="F13" i="25" s="1"/>
  <c r="Q12" i="25"/>
  <c r="P12" i="25"/>
  <c r="M12" i="25"/>
  <c r="L12" i="25"/>
  <c r="I12" i="25"/>
  <c r="C12" i="25"/>
  <c r="F12" i="25" s="1" a="1"/>
  <c r="F12" i="25" s="1"/>
  <c r="P11" i="25"/>
  <c r="Q11" i="25" s="1"/>
  <c r="M11" i="25"/>
  <c r="L11" i="25"/>
  <c r="I11" i="25"/>
  <c r="C11" i="25"/>
  <c r="F11" i="25" s="1" a="1"/>
  <c r="F11" i="25" s="1"/>
  <c r="P10" i="25"/>
  <c r="Q10" i="25" s="1"/>
  <c r="M10" i="25"/>
  <c r="L10" i="25"/>
  <c r="I10" i="25"/>
  <c r="F10" i="25" a="1"/>
  <c r="F10" i="25" s="1"/>
  <c r="C10" i="25"/>
  <c r="D10" i="25" s="1"/>
  <c r="P9" i="25"/>
  <c r="Q9" i="25" s="1"/>
  <c r="M9" i="25"/>
  <c r="L9" i="25"/>
  <c r="I9" i="25"/>
  <c r="D9" i="25"/>
  <c r="C9" i="25"/>
  <c r="F9" i="25" s="1" a="1"/>
  <c r="F9" i="25" s="1"/>
  <c r="Q8" i="25"/>
  <c r="P8" i="25"/>
  <c r="M8" i="25"/>
  <c r="L8" i="25"/>
  <c r="I8" i="25"/>
  <c r="C8" i="25"/>
  <c r="F8" i="25" s="1" a="1"/>
  <c r="F8" i="25" s="1"/>
  <c r="P7" i="25"/>
  <c r="Q7" i="25" s="1"/>
  <c r="M7" i="25"/>
  <c r="L7" i="25"/>
  <c r="I7" i="25"/>
  <c r="Q6" i="25"/>
  <c r="P6" i="25"/>
  <c r="M6" i="25"/>
  <c r="L6" i="25"/>
  <c r="I6" i="25"/>
  <c r="C98" i="10"/>
  <c r="F98" i="10" s="1" a="1"/>
  <c r="F98" i="10" s="1"/>
  <c r="I98" i="10"/>
  <c r="L98" i="10"/>
  <c r="M98" i="10"/>
  <c r="P98" i="10"/>
  <c r="Q98" i="10" s="1"/>
  <c r="D100" i="27" l="1"/>
  <c r="D11" i="27"/>
  <c r="D15" i="27"/>
  <c r="D19" i="27"/>
  <c r="D23" i="27"/>
  <c r="D27" i="27"/>
  <c r="D31" i="27"/>
  <c r="D35" i="27"/>
  <c r="D39" i="27"/>
  <c r="D43" i="27"/>
  <c r="D47" i="27"/>
  <c r="D51" i="27"/>
  <c r="D55" i="27"/>
  <c r="D59" i="27"/>
  <c r="D63" i="27"/>
  <c r="D67" i="27"/>
  <c r="D71" i="27"/>
  <c r="D75" i="27"/>
  <c r="D79" i="27"/>
  <c r="D83" i="27"/>
  <c r="D87" i="27"/>
  <c r="D91" i="27"/>
  <c r="D95" i="27"/>
  <c r="D99" i="27"/>
  <c r="D22" i="26"/>
  <c r="D26" i="26"/>
  <c r="D12" i="26"/>
  <c r="D16" i="26"/>
  <c r="D20" i="26"/>
  <c r="D24" i="26"/>
  <c r="D28" i="26"/>
  <c r="D32" i="26"/>
  <c r="D36" i="26"/>
  <c r="D40" i="26"/>
  <c r="D44" i="26"/>
  <c r="D48" i="26"/>
  <c r="D52" i="26"/>
  <c r="D56" i="26"/>
  <c r="D60" i="26"/>
  <c r="D64" i="26"/>
  <c r="D68" i="26"/>
  <c r="D72" i="26"/>
  <c r="D76" i="26"/>
  <c r="D80" i="26"/>
  <c r="D84" i="26"/>
  <c r="D88" i="26"/>
  <c r="D92" i="26"/>
  <c r="D96" i="26"/>
  <c r="D100" i="26"/>
  <c r="D95" i="26"/>
  <c r="D99" i="26"/>
  <c r="D14" i="26"/>
  <c r="D18" i="26"/>
  <c r="D34" i="26"/>
  <c r="D38" i="26"/>
  <c r="D46" i="26"/>
  <c r="D50" i="26"/>
  <c r="D54" i="26"/>
  <c r="D58" i="26"/>
  <c r="D62" i="26"/>
  <c r="D66" i="26"/>
  <c r="D70" i="26"/>
  <c r="D74" i="26"/>
  <c r="D78" i="26"/>
  <c r="D82" i="26"/>
  <c r="D86" i="26"/>
  <c r="D90" i="26"/>
  <c r="D94" i="26"/>
  <c r="D98" i="26"/>
  <c r="D10" i="26"/>
  <c r="D30" i="26"/>
  <c r="D42" i="26"/>
  <c r="D8" i="25"/>
  <c r="D12"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D62" i="25"/>
  <c r="D66" i="25"/>
  <c r="D70" i="25"/>
  <c r="D74" i="25"/>
  <c r="D78" i="25"/>
  <c r="D82" i="25"/>
  <c r="D86" i="25"/>
  <c r="D90" i="25"/>
  <c r="D94" i="25"/>
  <c r="D98"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<sst xmlns="http://schemas.openxmlformats.org/spreadsheetml/2006/main" count="964" uniqueCount="350">
  <si>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</si>
  <si>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</si>
  <si>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</si>
  <si>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</si>
  <si>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</si>
  <si>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</si>
  <si>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</si>
  <si>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</si>
  <si>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</si>
  <si>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</si>
  <si>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</si>
  <si>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</si>
  <si>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</si>
  <si>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</si>
  <si>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</si>
  <si>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</si>
  <si>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</si>
  <si>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</si>
  <si>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</si>
  <si>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</si>
  <si>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</si>
  <si>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</si>
  <si>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</si>
  <si>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</si>
  <si>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</si>
  <si>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</si>
  <si>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</si>
  <si>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</si>
  <si>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</si>
  <si>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</si>
  <si>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</si>
  <si>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</si>
  <si>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</si>
  <si>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</si>
  <si>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</si>
  <si>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</si>
  <si>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</si>
  <si>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</si>
  <si>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</si>
  <si>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</si>
  <si>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</si>
  <si>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</si>
  <si>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</si>
  <si>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</si>
  <si>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</si>
  <si>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</si>
  <si>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</si>
  <si>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</si>
  <si>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</si>
  <si>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</si>
  <si>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</si>
  <si>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</si>
  <si>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</si>
  <si>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</si>
  <si>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</si>
  <si>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</si>
  <si>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</si>
  <si>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</si>
  <si>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</si>
  <si>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</si>
  <si>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</si>
  <si>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</si>
  <si>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</si>
  <si>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</si>
  <si>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</si>
  <si>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</si>
  <si>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</si>
  <si>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</si>
  <si>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</si>
  <si>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</si>
  <si>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</si>
  <si>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</si>
  <si>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</si>
  <si>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</si>
  <si>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</si>
  <si>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</si>
  <si>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</si>
  <si>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</si>
  <si>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</si>
  <si>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</si>
  <si>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</si>
  <si>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</si>
  <si>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</si>
  <si>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</si>
  <si>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</si>
  <si>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</si>
  <si>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</si>
  <si>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</si>
  <si>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</si>
  <si>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</si>
  <si>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</si>
  <si>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</si>
  <si>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</si>
  <si>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</si>
  <si>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</si>
  <si>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</si>
  <si>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</si>
  <si>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</si>
  <si>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</si>
  <si>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</si>
  <si>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</si>
  <si>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</si>
  <si>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</si>
  <si>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</si>
  <si>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</si>
  <si>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</si>
  <si>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</si>
  <si>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</si>
  <si>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</si>
  <si>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</si>
  <si>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</si>
  <si>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</si>
  <si>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</si>
  <si>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</si>
  <si>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</si>
  <si>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</si>
  <si>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</si>
  <si>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</si>
  <si>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</si>
  <si>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</si>
  <si>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</si>
  <si>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</si>
  <si>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</si>
  <si>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</si>
  <si>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</si>
  <si>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</si>
  <si>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</si>
  <si>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</si>
  <si>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</si>
  <si>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</si>
  <si>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</si>
  <si>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</si>
  <si>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</si>
  <si>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</si>
  <si>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</si>
  <si>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</si>
  <si>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</si>
  <si>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</si>
  <si>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</si>
  <si>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</si>
  <si>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</si>
  <si>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</si>
  <si>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</si>
  <si>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</si>
  <si>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</si>
  <si>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</si>
  <si>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</si>
  <si>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</si>
  <si>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</si>
  <si>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</si>
  <si>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</si>
  <si>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</si>
  <si>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</si>
  <si>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</si>
  <si>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</si>
  <si>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</si>
  <si>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</si>
  <si>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</si>
  <si>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</si>
  <si>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</si>
  <si>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</si>
  <si>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</si>
  <si>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</si>
  <si>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</si>
  <si>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</si>
  <si>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</si>
  <si>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</si>
  <si>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</si>
  <si>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</si>
  <si>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</si>
  <si>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</si>
  <si>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</si>
  <si>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</si>
  <si>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</si>
  <si>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</si>
  <si>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</si>
  <si>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</si>
  <si>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</si>
  <si>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</si>
  <si>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</si>
  <si>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</si>
  <si>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</si>
  <si>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</si>
  <si>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</si>
  <si>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</si>
  <si>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</si>
  <si>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</si>
  <si>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</si>
  <si>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</si>
  <si>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</si>
  <si>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</si>
  <si>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</si>
  <si>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</si>
  <si>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</si>
  <si>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</si>
  <si>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</si>
  <si>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</si>
  <si>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</si>
  <si>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</si>
  <si>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</si>
  <si>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</si>
  <si>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</si>
  <si>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</si>
  <si>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</si>
  <si>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</si>
  <si>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</si>
  <si>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</si>
  <si>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</si>
  <si>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</si>
  <si>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</si>
  <si>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</si>
  <si>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</si>
  <si>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</si>
  <si>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</si>
  <si>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</si>
  <si>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</si>
  <si>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</si>
  <si>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</si>
  <si>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</si>
  <si>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</si>
  <si>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</si>
  <si>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</si>
  <si>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</si>
  <si>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</si>
  <si>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</si>
  <si>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</si>
  <si>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</si>
  <si>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</si>
  <si>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</si>
  <si>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</si>
  <si>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</si>
  <si>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</si>
  <si>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</si>
  <si>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</si>
  <si>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</si>
  <si>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</si>
  <si>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</si>
  <si>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</si>
  <si>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</si>
  <si>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</si>
  <si>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</si>
  <si>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</si>
  <si>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</si>
  <si>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</si>
  <si>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</si>
  <si>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</si>
  <si>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</si>
  <si>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</si>
  <si>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</si>
  <si>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</si>
  <si>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</si>
  <si>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</si>
  <si>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</si>
  <si>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</si>
  <si>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</si>
  <si>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</si>
  <si>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</si>
  <si>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</si>
  <si>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</si>
  <si>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</si>
  <si>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</si>
  <si>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</si>
  <si>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</si>
  <si>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</si>
  <si>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</si>
  <si>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</si>
  <si>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</si>
  <si>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</si>
  <si>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</si>
  <si>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</si>
  <si>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</si>
  <si>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</si>
  <si>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</si>
  <si>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</si>
  <si>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</si>
  <si>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</si>
  <si>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</si>
  <si>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</si>
  <si>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</si>
  <si>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</si>
  <si>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</si>
  <si>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</si>
  <si>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</si>
  <si>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</si>
  <si>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</si>
  <si>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</si>
  <si>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</si>
  <si>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</si>
  <si>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</si>
  <si>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</si>
  <si>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</si>
  <si>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</si>
  <si>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</si>
  <si>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</si>
  <si>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</si>
  <si>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</si>
  <si>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</si>
  <si>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</si>
  <si>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</si>
  <si>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</si>
  <si>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</si>
  <si>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</si>
  <si>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</si>
  <si>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</si>
  <si>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</si>
  <si>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</si>
  <si>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</si>
  <si>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</si>
  <si>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</si>
  <si>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</si>
  <si>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</si>
  <si>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</si>
  <si>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</si>
  <si>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</si>
  <si>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</si>
  <si>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</si>
  <si>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</si>
  <si>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</si>
  <si>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</si>
  <si>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</si>
  <si>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</si>
  <si>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</si>
  <si>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</si>
  <si>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</si>
  <si>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</si>
  <si>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</si>
  <si>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</si>
  <si>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</si>
  <si>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</si>
  <si>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</si>
  <si>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</si>
  <si>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</si>
  <si>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</si>
  <si>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</si>
  <si>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</si>
  <si>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</si>
  <si>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</si>
  <si>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</si>
  <si>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Algae growth in WWTPs. No energy is allocated to algae.</t>
  </si>
  <si>
    <t>Algae growth</t>
  </si>
  <si>
    <t>39.3% ash content</t>
  </si>
  <si>
    <t>Algae transportation</t>
  </si>
  <si>
    <t>50% of algae is transported, the remaining is produced from a co-located WWTP.</t>
  </si>
  <si>
    <t>Electricity for drying</t>
  </si>
  <si>
    <t>Algae drying</t>
  </si>
  <si>
    <t>96% sulfuric acid.</t>
  </si>
  <si>
    <t>Surrogate for MgCl2</t>
  </si>
  <si>
    <t>Hydrotreating main bed catalyst and HT guard bed catalyst</t>
  </si>
  <si>
    <t>Nitrogen in struvite</t>
  </si>
  <si>
    <t>P in struvite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</si>
</sst>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_);_(* \(#,##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0" fillId="0" borderId="0" xfId="0" applyFill="1"/>
    <xf numFmtId="0" fontId="0" fillId="0" borderId="0" xfId="0" applyFill="1" applyAlignment="1">
      <alignment horizontal="left"/>
    </xf>
    <xf numFmtId="3" fontId="0" fillId="0" borderId="0" xfId="0" applyNumberFormat="1" applyFill="1"/>
    <xf numFmtId="164" fontId="0" fillId="0" borderId="0" xfId="0" applyNumberFormat="1" applyFill="1"/>
    <xf numFmtId="0" fontId="0" fillId="0" borderId="0" xfId="0" applyFill="1" applyBorder="1"/>
    <xf numFmtId="164" fontId="0" fillId="0" borderId="0" xfId="0" applyNumberFormat="1" applyFill="1" applyBorder="1"/>
    <xf numFmtId="0" fontId="0" fillId="0" borderId="0" xfId="0" applyFill="1" applyBorder="1" applyAlignment="1">
      <alignment horizontal="left"/>
    </xf>
    <xf numFmtId="0" fontId="4" fillId="0" borderId="0" xfId="0" applyFont="1" applyFill="1" applyAlignment="1">
      <alignment horizontal="left"/>
    </xf>
    <xf numFmtId="0" fontId="4" fillId="0" borderId="4" xfId="0" applyFont="1" applyFill="1" applyBorder="1"/>
    <xf numFmtId="0" fontId="0" fillId="0" borderId="4" xfId="0" applyFill="1" applyBorder="1"/>
    <xf numFmtId="0" fontId="3" fillId="0" borderId="0" xfId="0" applyFon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91" dataDxfId="90" tableBorderDxfId="89" dataCellStyle="Percent">
  <autoFilter ref="A5:T100" xr:uid="{1644AED8-49DE-4A1D-989C-1566C9A522B9}"/>
  <tableColumns count="20">
    <tableColumn id="1" xr3:uid="{8540DF43-2806-481E-B486-7485B3433A50}" name="Type" dataDxfId="88"/>
    <tableColumn id="2" xr3:uid="{5DB32785-08CD-46C6-B810-4AE79A5BEE54}" name="Category" dataDxfId="87"/>
    <tableColumn id="3" xr3:uid="{24EADEC7-262D-4287-878E-D7ECCA4D6D6F}" name="Resource" dataDxfId="86">
      <calculatedColumnFormula>_xlfn.XLOOKUP($B6,'SI - Resources'!$A$1:$J$1,'SI - Resources'!$A$2:$J$2, "")</calculatedColumnFormula>
    </tableColumn>
    <tableColumn id="4" xr3:uid="{7EFF1B5D-86EF-4AB3-A15E-CFF5737F74D0}" name="End Use" dataDxfId="85">
      <calculatedColumnFormula>IF(_xlfn.XLOOKUP($C6,'SI - End Use'!$B$2:$B$6,'SI - End Use'!$C$2:$C$6, "")="", "", _xlfn.XLOOKUP($C6,'SI - End Use'!$B$2:$B$6,'SI - End Use'!$C$2:$C$6, ""))</calculatedColumnFormula>
    </tableColumn>
    <tableColumn id="5" xr3:uid="{93944664-1BAD-4D56-8826-B7D3D1A218C7}" name="Amount" dataDxfId="84" dataCellStyle="Comma"/>
    <tableColumn id="6" xr3:uid="{FD97E02B-B21D-46C8-94A1-DD7BB3D51B49}" name="Unit" dataDxfId="83">
      <calculatedColumnFormula array="1">IF($B6="Transportation",  'SI - Units'!$B$9:$B$9, _xlfn.XLOOKUP(_xlfn.XLOOKUP($C6,'SI - Units'!$B$24:$B$109,'SI - Units'!$C$24:$C$109, ""),'SI - Units'!$A$2:$A$8,'SI - Units'!$B$2:$B$8, ""))</calculatedColumnFormula>
    </tableColumn>
    <tableColumn id="7" xr3:uid="{29CAC8F0-275B-46F1-88C9-6479D28E7B7D}" name="Moisture" dataDxfId="82" dataCellStyle="Percent"/>
    <tableColumn id="8" xr3:uid="{7B421903-0BF6-4756-840A-5FAF357635E4}" name="Previous Stage" dataDxfId="81" dataCellStyle="Percent"/>
    <tableColumn id="9" xr3:uid="{E254A280-B169-466B-9A62-3DBDB7DD86BA}" name="Always Use Displacement Method for Co-Product?" dataDxfId="80" dataCellStyle="Percent">
      <calculatedColumnFormula>IF(Table13[[#This Row],[Type]]="Co-product", "No", "")</calculatedColumnFormula>
    </tableColumn>
    <tableColumn id="19" xr3:uid="{E27BC804-56F1-4640-96B2-43FCC0447C90}" name="Urban Share" dataDxfId="79" dataCellStyle="Percent"/>
    <tableColumn id="10" xr3:uid="{DF64873B-FE0D-4C8D-AFDB-D86C3E425CB5}" name="Product Train" dataDxfId="78"/>
    <tableColumn id="14" xr3:uid="{4AC77A6B-00E0-4097-8F6B-E44D6FD33A60}" name="Payload" dataDxfId="77">
      <calculatedColumnFormula>IF(Table13[[#This Row],[Category]]="Transportation", _xlfn.XLOOKUP(Table13[[#This Row],[Resource]], 'SI - Payload'!$A$10:$A$38,'SI - Payload'!$B$10:$B$38,"",0), "")</calculatedColumnFormula>
    </tableColumn>
    <tableColumn id="15" xr3:uid="{12266DA7-2860-4902-A860-F7A8C967B8AC}" name="Payload Unit" dataDxfId="76">
      <calculatedColumnFormula>IF(Table13[[#This Row],[Category]]="Transportation", "ton", "")</calculatedColumnFormula>
    </tableColumn>
    <tableColumn id="16" xr3:uid="{D6525627-CDFF-4A10-A93C-AF0010F1065E}" name="Market Price" dataDxfId="75"/>
    <tableColumn id="17" xr3:uid="{1E3EA3C9-0C10-407B-B7C3-5BE85A872B4C}" name="Market Price Unit" dataDxfId="74"/>
    <tableColumn id="12" xr3:uid="{CD73860D-9B70-4890-8CD2-E59A65DCFC66}" name="Incumbent Product" dataDxfId="73">
      <calculatedColumnFormula>IF(OR(Table13[[#This Row],[Type]]="Main Product", Table13[[#This Row],[Type]]="Co-Product"), Table13[[#This Row],[Resource]], "")</calculatedColumnFormula>
    </tableColumn>
    <tableColumn id="13" xr3:uid="{30F6CFBB-2166-40C4-AE0E-1D647850EE2E}" name="End Use of Incumbent Product" dataDxfId="72">
      <calculatedColumnFormula>IF(_xlfn.XLOOKUP($P6,'SI - End Use'!$B$2:$B$6,'SI - End Use'!$C$2:$C$6, "")="", "", _xlfn.XLOOKUP($C6,'SI - End Use'!$B$2:$B$6,'SI - End Use'!$C$2:$C$6, ""))</calculatedColumnFormula>
    </tableColumn>
    <tableColumn id="20" xr3:uid="{20CCDE22-7242-4E74-BE65-590DE755856E}" name="Surrogate For" dataDxfId="71"/>
    <tableColumn id="18" xr3:uid="{FC7A5781-CD67-4A58-82D3-8FE69D1A977B}" name="Process" dataDxfId="70"/>
    <tableColumn id="11" xr3:uid="{70E9ED22-A1DB-4D0C-BD30-E431BDC78730}"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D26F913-44B7-46E5-A1E3-4C0B58223A63}" name="Table16" displayName="Table16" ref="A5:T100" totalsRowShown="0" headerRowDxfId="68" dataDxfId="67" tableBorderDxfId="66" dataCellStyle="Percent">
  <autoFilter ref="A5:T100" xr:uid="{1644AED8-49DE-4A1D-989C-1566C9A522B9}"/>
  <tableColumns count="20">
    <tableColumn id="1" xr3:uid="{05EDC2E6-51FF-49D1-ADEF-B385DB0C2E06}" name="Type" dataDxfId="65"/>
    <tableColumn id="2" xr3:uid="{A41414F7-7B38-4AD9-B766-ACAC2132CABA}" name="Category" dataDxfId="64"/>
    <tableColumn id="3" xr3:uid="{2EF411F2-E76E-4203-A1C0-E2D3464573E4}" name="Resource" dataDxfId="63">
      <calculatedColumnFormula>_xlfn.XLOOKUP($B6,'SI - Resources'!$A$1:$J$1,'SI - Resources'!$A$2:$J$2, "")</calculatedColumnFormula>
    </tableColumn>
    <tableColumn id="4" xr3:uid="{938D6FF8-EE79-4889-A8F5-1C168B9EC9EF}" name="End Use" dataDxfId="62">
      <calculatedColumnFormula>IF(_xlfn.XLOOKUP($C6,'SI - End Use'!$B$2:$B$6,'SI - End Use'!$C$2:$C$6, "")="", "", _xlfn.XLOOKUP($C6,'SI - End Use'!$B$2:$B$6,'SI - End Use'!$C$2:$C$6, ""))</calculatedColumnFormula>
    </tableColumn>
    <tableColumn id="5" xr3:uid="{89CF9FFE-BE23-4321-A3FB-A2BC98923536}" name="Amount" dataDxfId="61" dataCellStyle="Comma"/>
    <tableColumn id="6" xr3:uid="{3EEBCD1C-50D8-457F-8054-AF68FFE86D86}" name="Unit" dataDxfId="60">
      <calculatedColumnFormula array="1">IF($B6="Transportation",  'SI - Units'!$B$9:$B$9, _xlfn.XLOOKUP(_xlfn.XLOOKUP($C6,'SI - Units'!$B$24:$B$109,'SI - Units'!$C$24:$C$109, ""),'SI - Units'!$A$2:$A$8,'SI - Units'!$B$2:$B$8, ""))</calculatedColumnFormula>
    </tableColumn>
    <tableColumn id="7" xr3:uid="{47B6A2B8-A48D-4ABB-B6C8-3F8ABF388128}" name="Moisture" dataDxfId="59" dataCellStyle="Percent"/>
    <tableColumn id="8" xr3:uid="{DD4C19A5-074F-45E1-80CC-D25D875AA0E1}" name="Previous Stage" dataDxfId="58" dataCellStyle="Percent"/>
    <tableColumn id="9" xr3:uid="{F0102AB5-D267-4B5B-9A8E-C52FB7B7A7FD}" name="Always Use Displacement Method for Co-Product?" dataDxfId="57" dataCellStyle="Percent">
      <calculatedColumnFormula>IF(Table16[[#This Row],[Type]]="Co-product", "No", "")</calculatedColumnFormula>
    </tableColumn>
    <tableColumn id="19" xr3:uid="{18AAF38E-E069-463E-94C6-2DCC7525B779}" name="Urban Share" dataDxfId="56" dataCellStyle="Percent"/>
    <tableColumn id="10" xr3:uid="{CA0A8D62-9232-4902-9C20-4DB57866B803}" name="Product Train" dataDxfId="55"/>
    <tableColumn id="14" xr3:uid="{38D501C2-A31E-4D56-AFC6-47098948FBE9}" name="Payload" dataDxfId="54">
      <calculatedColumnFormula>IF(Table16[[#This Row],[Category]]="Transportation", _xlfn.XLOOKUP(Table16[[#This Row],[Resource]], 'SI - Payload'!$A$10:$A$38,'SI - Payload'!$B$10:$B$38,"",0), "")</calculatedColumnFormula>
    </tableColumn>
    <tableColumn id="15" xr3:uid="{82C92B4F-AEB4-4816-94C7-8E96F7B79EC1}" name="Payload Unit" dataDxfId="53">
      <calculatedColumnFormula>IF(Table16[[#This Row],[Category]]="Transportation", "ton", "")</calculatedColumnFormula>
    </tableColumn>
    <tableColumn id="16" xr3:uid="{8A0DB007-9A9F-4FEA-A722-E152028F87F1}" name="Market Price" dataDxfId="52"/>
    <tableColumn id="17" xr3:uid="{42E1C80E-8B02-42E7-B75B-F0F8815AD921}" name="Market Price Unit" dataDxfId="51"/>
    <tableColumn id="12" xr3:uid="{C7516A6E-3FED-4522-ACA0-48DE378BA3A9}" name="Incumbent Product" dataDxfId="50">
      <calculatedColumnFormula>IF(OR(Table16[[#This Row],[Type]]="Main Product", Table16[[#This Row],[Type]]="Co-Product"), Table16[[#This Row],[Resource]], "")</calculatedColumnFormula>
    </tableColumn>
    <tableColumn id="13" xr3:uid="{2D1D2421-B348-489A-AEE5-6B6780B4F13F}" name="End Use of Incumbent Product" dataDxfId="49">
      <calculatedColumnFormula>IF(_xlfn.XLOOKUP($P6,'SI - End Use'!$B$2:$B$6,'SI - End Use'!$C$2:$C$6, "")="", "", _xlfn.XLOOKUP($C6,'SI - End Use'!$B$2:$B$6,'SI - End Use'!$C$2:$C$6, ""))</calculatedColumnFormula>
    </tableColumn>
    <tableColumn id="20" xr3:uid="{257B2947-5E62-4FCC-9B56-AA600BF61FDA}" name="Surrogate For" dataDxfId="48"/>
    <tableColumn id="18" xr3:uid="{97A4CC36-CE8E-4B7B-B1D3-9A179860E189}" name="Process" dataDxfId="47"/>
    <tableColumn id="11" xr3:uid="{5949C4CC-3588-4B9D-BEEF-C9A825835E64}"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E44182-7562-4404-8764-F005496D74B0}" name="Table18" displayName="Table18" ref="A5:T100" totalsRowShown="0" headerRowDxfId="45" dataDxfId="44" tableBorderDxfId="43" dataCellStyle="Percent">
  <autoFilter ref="A5:T100" xr:uid="{1644AED8-49DE-4A1D-989C-1566C9A522B9}"/>
  <tableColumns count="20">
    <tableColumn id="1" xr3:uid="{B4532851-DFCF-4CB1-BE92-1D2C5DF3F929}" name="Type" dataDxfId="42"/>
    <tableColumn id="2" xr3:uid="{2F86CEBD-2961-4A63-BC45-F11A53EE542C}" name="Category" dataDxfId="41"/>
    <tableColumn id="3" xr3:uid="{CA8CCE5F-9308-4A69-91D1-FA330EF2470F}" name="Resource" dataDxfId="40">
      <calculatedColumnFormula>_xlfn.XLOOKUP($B6,'SI - Resources'!$A$1:$J$1,'SI - Resources'!$A$2:$J$2, "")</calculatedColumnFormula>
    </tableColumn>
    <tableColumn id="4" xr3:uid="{65A22E57-0B51-4BDB-969D-96777F7A10F6}" name="End Use" dataDxfId="39">
      <calculatedColumnFormula>IF(_xlfn.XLOOKUP($C6,'SI - End Use'!$B$2:$B$6,'SI - End Use'!$C$2:$C$6, "")="", "", _xlfn.XLOOKUP($C6,'SI - End Use'!$B$2:$B$6,'SI - End Use'!$C$2:$C$6, ""))</calculatedColumnFormula>
    </tableColumn>
    <tableColumn id="5" xr3:uid="{4984F7B8-2E55-43F4-8A99-3CE467FBE741}" name="Amount" dataDxfId="38" dataCellStyle="Comma"/>
    <tableColumn id="6" xr3:uid="{55600C23-20D0-4E54-8488-0108B624F395}" name="Unit" dataDxfId="37">
      <calculatedColumnFormula array="1">IF($B6="Transportation",  'SI - Units'!$B$9:$B$9, _xlfn.XLOOKUP(_xlfn.XLOOKUP($C6,'SI - Units'!$B$24:$B$109,'SI - Units'!$C$24:$C$109, ""),'SI - Units'!$A$2:$A$8,'SI - Units'!$B$2:$B$8, ""))</calculatedColumnFormula>
    </tableColumn>
    <tableColumn id="7" xr3:uid="{7475A997-F8B1-4257-957D-63A50AF0DC27}" name="Moisture" dataDxfId="36" dataCellStyle="Percent"/>
    <tableColumn id="8" xr3:uid="{538CAB9F-929A-4AA3-9EC2-2EC85BDF7853}" name="Previous Stage" dataDxfId="35" dataCellStyle="Percent"/>
    <tableColumn id="9" xr3:uid="{10CF664E-BC25-4F64-BEDC-F3911E34DFC7}" name="Always Use Displacement Method for Co-Product?" dataDxfId="34" dataCellStyle="Percent">
      <calculatedColumnFormula>IF(Table18[[#This Row],[Type]]="Co-product", "No", "")</calculatedColumnFormula>
    </tableColumn>
    <tableColumn id="19" xr3:uid="{326AF7E7-9DA9-4794-8717-06ADCCBDCAC6}" name="Urban Share" dataDxfId="33" dataCellStyle="Percent"/>
    <tableColumn id="10" xr3:uid="{5D24E9AB-35D8-4009-AEF2-C562B6A181B7}" name="Product Train" dataDxfId="32"/>
    <tableColumn id="14" xr3:uid="{DD61DC2F-0FD6-4FBC-BBE0-7EEE8FF35BBE}" name="Payload" dataDxfId="31">
      <calculatedColumnFormula>IF(Table18[[#This Row],[Category]]="Transportation", _xlfn.XLOOKUP(Table18[[#This Row],[Resource]], 'SI - Payload'!$A$10:$A$38,'SI - Payload'!$B$10:$B$38,"",0), "")</calculatedColumnFormula>
    </tableColumn>
    <tableColumn id="15" xr3:uid="{F40D29D4-280B-49AF-8F1E-2F72C660E410}" name="Payload Unit" dataDxfId="30">
      <calculatedColumnFormula>IF(Table18[[#This Row],[Category]]="Transportation", "ton", "")</calculatedColumnFormula>
    </tableColumn>
    <tableColumn id="16" xr3:uid="{BBD97BDE-9F45-434C-B9A1-F8DF2C5E71C8}" name="Market Price" dataDxfId="29"/>
    <tableColumn id="17" xr3:uid="{A2ED3A18-20F5-4BCE-8150-A4648017C2A8}" name="Market Price Unit" dataDxfId="28"/>
    <tableColumn id="12" xr3:uid="{83E2286A-A44A-4918-8905-7D524AEC14AA}" name="Incumbent Product" dataDxfId="27">
      <calculatedColumnFormula>IF(OR(Table18[[#This Row],[Type]]="Main Product", Table18[[#This Row],[Type]]="Co-Product"), Table18[[#This Row],[Resource]], "")</calculatedColumnFormula>
    </tableColumn>
    <tableColumn id="13" xr3:uid="{8050ED6F-2DFB-4480-BFCB-E899CB0E2C67}" name="End Use of Incumbent Product" dataDxfId="26">
      <calculatedColumnFormula>IF(_xlfn.XLOOKUP($P6,'SI - End Use'!$B$2:$B$6,'SI - End Use'!$C$2:$C$6, "")="", "", _xlfn.XLOOKUP($C6,'SI - End Use'!$B$2:$B$6,'SI - End Use'!$C$2:$C$6, ""))</calculatedColumnFormula>
    </tableColumn>
    <tableColumn id="20" xr3:uid="{CD15A79E-26BF-4D2B-BAA8-CA13FA217F35}" name="Surrogate For" dataDxfId="25"/>
    <tableColumn id="18" xr3:uid="{26F630CE-B878-4B71-BFB0-ED21D7D1DAC5}" name="Process" dataDxfId="24"/>
    <tableColumn id="11" xr3:uid="{12D97985-E0DA-4D77-A510-96A774F0B312}"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0" totalsRowShown="0" headerRowDxfId="22" dataDxfId="21" tableBorderDxfId="20" dataCellStyle="Percent">
  <autoFilter ref="A5:T100" xr:uid="{1644AED8-49DE-4A1D-989C-1566C9A522B9}"/>
  <tableColumns count="20">
    <tableColumn id="1" xr3:uid="{4963602F-EE9D-4275-BB06-94275FA0ADC9}" name="Type" dataDxfId="19"/>
    <tableColumn id="2" xr3:uid="{A2EC3194-B813-4DCE-AE01-1C673B9568DE}" name="Category" dataDxfId="18"/>
    <tableColumn id="3" xr3:uid="{35734D3D-B786-40BB-B133-3A0C99319B95}" name="Resource" dataDxfId="17">
      <calculatedColumnFormula>_xlfn.XLOOKUP($B6,'SI - Resources'!$A$1:$J$1,'SI - Resources'!$A$2:$J$2, "")</calculatedColumnFormula>
    </tableColumn>
    <tableColumn id="4" xr3:uid="{1FA39DD6-DF4B-47C8-BE66-FCFED64BAE56}" name="End Use" dataDxfId="16">
      <calculatedColumnFormula>IF(_xlfn.XLOOKUP($C6,'SI - End Use'!$B$2:$B$6,'SI - End Use'!$C$2:$C$6, "")="", "", _xlfn.XLOOKUP($C6,'SI - End Use'!$B$2:$B$6,'SI - End Use'!$C$2:$C$6, ""))</calculatedColumnFormula>
    </tableColumn>
    <tableColumn id="5" xr3:uid="{095C2C61-1536-4D98-864A-5D7D6EC876DE}" name="Amount" dataDxfId="15" dataCellStyle="Comma"/>
    <tableColumn id="6" xr3:uid="{CE6564ED-CD6C-456D-B652-43635DFD9834}" name="Unit" dataDxfId="14">
      <calculatedColumnFormula array="1">IF($B6="Transportation",  'SI - Units'!$B$9:$B$9, _xlfn.XLOOKUP(_xlfn.XLOOKUP($C6,'SI - Units'!$B$24:$B$109,'SI - Units'!$C$24:$C$109, ""),'SI - Units'!$A$2:$A$8,'SI - Units'!$B$2:$B$8, ""))</calculatedColumnFormula>
    </tableColumn>
    <tableColumn id="7" xr3:uid="{93B7310A-05ED-418A-820F-1D6A823213F6}" name="Moisture" dataDxfId="13" dataCellStyle="Percent"/>
    <tableColumn id="8" xr3:uid="{44A8F169-15F2-430B-8821-744C929984E0}" name="Previous Stage" dataDxfId="12" dataCellStyle="Percent"/>
    <tableColumn id="9" xr3:uid="{E71A0842-E5CE-48E8-A252-18C8F430EFAD}" name="Always Use Displacement Method for Co-Product?" dataDxfId="11" dataCellStyle="Percent">
      <calculatedColumnFormula>IF(Table111[[#This Row],[Type]]="Co-product", "No", "")</calculatedColumnFormula>
    </tableColumn>
    <tableColumn id="19" xr3:uid="{2D0F5DB1-12CA-4619-99FB-232F373338EF}" name="Urban Share" dataDxfId="10" dataCellStyle="Percent"/>
    <tableColumn id="10" xr3:uid="{097318D1-F1F3-4567-B18E-213E054F7B08}" name="Product Train" dataDxfId="9"/>
    <tableColumn id="14" xr3:uid="{1D13D1F2-E088-44EC-9D2B-22F8FEA8B4EB}" name="Payload" dataDxfId="8">
      <calculatedColumnFormula>IF(Table111[[#This Row],[Category]]="Transportation", _xlfn.XLOOKUP(Table111[[#This Row],[Resource]], 'SI - Payload'!$A$10:$A$38,'SI - Payload'!$B$10:$B$38,"",0), "")</calculatedColumnFormula>
    </tableColumn>
    <tableColumn id="15" xr3:uid="{89012612-FBFF-4D1A-8D93-A61A932877E9}" name="Payload Unit" dataDxfId="7">
      <calculatedColumnFormula>IF(Table111[[#This Row],[Category]]="Transportation", "ton", "")</calculatedColumnFormula>
    </tableColumn>
    <tableColumn id="16" xr3:uid="{B5098648-5BCC-4ACE-905E-4B4F86D78E95}" name="Market Price" dataDxfId="6"/>
    <tableColumn id="17" xr3:uid="{920B4711-E01C-4180-BC6D-98BF6D2D6376}" name="Market Price Unit" dataDxfId="5"/>
    <tableColumn id="12" xr3:uid="{8073611B-E408-40C3-B6EA-623AEE738E4C}" name="Incumbent Product" dataDxfId="4">
      <calculatedColumnFormula>IF(OR(Table111[[#This Row],[Type]]="Main Product", Table111[[#This Row],[Type]]="Co-Product"), Table111[[#This Row],[Resource]], "")</calculatedColumnFormula>
    </tableColumn>
    <tableColumn id="13" xr3:uid="{6C1DF92A-6FE0-4C7C-9FD0-A294FE8A10AA}" name="End Use of Incumbent Product" dataDxfId="3">
      <calculatedColumnFormula>IF(_xlfn.XLOOKUP($P6,'SI - End Use'!$B$2:$B$6,'SI - End Use'!$C$2:$C$6, "")="", "", _xlfn.XLOOKUP($C6,'SI - End Use'!$B$2:$B$6,'SI - End Use'!$C$2:$C$6, ""))</calculatedColumnFormula>
    </tableColumn>
    <tableColumn id="20" xr3:uid="{12597A7D-90BC-4319-9721-FDDEAC190034}" name="Surrogate For" dataDxfId="2"/>
    <tableColumn id="18" xr3:uid="{CAC8F60F-8ACC-43F8-87C3-5C04CBE58CD8}" name="Process" dataDxfId="1"/>
    <tableColumn id="11" xr3:uid="{F73475E7-AF8D-404A-9124-BC75A281D1B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2" t="s">
        <v>261</v>
      </c>
      <c r="B2" s="72"/>
    </row>
    <row r="3" spans="1:3" ht="29.1" customHeight="1" x14ac:dyDescent="0.25">
      <c r="A3" s="74" t="s">
        <v>274</v>
      </c>
      <c r="B3" s="74"/>
    </row>
    <row r="4" spans="1:3" ht="27.95" customHeight="1" x14ac:dyDescent="0.25">
      <c r="A4" s="19"/>
      <c r="B4" s="19"/>
    </row>
    <row r="5" spans="1:3" ht="27.95" customHeight="1" x14ac:dyDescent="0.25">
      <c r="A5" s="73" t="s">
        <v>260</v>
      </c>
      <c r="B5" s="73"/>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s="58" t="s">
        <v>288</v>
      </c>
      <c r="B11" s="6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7" x14ac:dyDescent="0.25">
      <c r="A17" t="s">
        <v>13</v>
      </c>
      <c r="B17" s="50">
        <f>$Y$4</f>
        <v>22.5</v>
      </c>
    </row>
    <row r="18" spans="1:7" x14ac:dyDescent="0.25">
      <c r="A18" t="s">
        <v>14</v>
      </c>
      <c r="B18" s="50">
        <f t="shared" ref="B18:B38" si="0">$Y$4</f>
        <v>22.5</v>
      </c>
    </row>
    <row r="19" spans="1:7" x14ac:dyDescent="0.25">
      <c r="A19" t="s">
        <v>15</v>
      </c>
      <c r="B19" s="50">
        <f t="shared" si="0"/>
        <v>22.5</v>
      </c>
    </row>
    <row r="20" spans="1:7" x14ac:dyDescent="0.25">
      <c r="A20" t="s">
        <v>16</v>
      </c>
      <c r="B20" s="50">
        <f t="shared" si="0"/>
        <v>22.5</v>
      </c>
    </row>
    <row r="21" spans="1:7" x14ac:dyDescent="0.25">
      <c r="A21" t="s">
        <v>17</v>
      </c>
      <c r="B21" s="50">
        <f t="shared" si="0"/>
        <v>22.5</v>
      </c>
    </row>
    <row r="22" spans="1:7" x14ac:dyDescent="0.25">
      <c r="A22" t="s">
        <v>18</v>
      </c>
      <c r="B22" s="50">
        <f t="shared" si="0"/>
        <v>22.5</v>
      </c>
    </row>
    <row r="23" spans="1:7" x14ac:dyDescent="0.25">
      <c r="A23" t="s">
        <v>19</v>
      </c>
      <c r="B23" s="50">
        <f t="shared" si="0"/>
        <v>22.5</v>
      </c>
    </row>
    <row r="24" spans="1:7" x14ac:dyDescent="0.25">
      <c r="A24" t="s">
        <v>107</v>
      </c>
      <c r="B24" s="50">
        <f t="shared" si="0"/>
        <v>22.5</v>
      </c>
    </row>
    <row r="25" spans="1:7" x14ac:dyDescent="0.25">
      <c r="A25" t="s">
        <v>106</v>
      </c>
      <c r="B25" s="60">
        <f t="shared" si="0"/>
        <v>22.5</v>
      </c>
      <c r="C25" s="58"/>
    </row>
    <row r="26" spans="1:7" x14ac:dyDescent="0.25">
      <c r="A26" t="s">
        <v>21</v>
      </c>
      <c r="B26" s="50">
        <f t="shared" si="0"/>
        <v>22.5</v>
      </c>
      <c r="F26" s="62"/>
      <c r="G26" s="62"/>
    </row>
    <row r="27" spans="1:7" x14ac:dyDescent="0.25">
      <c r="A27" t="s">
        <v>36</v>
      </c>
      <c r="B27" s="50">
        <f t="shared" si="0"/>
        <v>22.5</v>
      </c>
      <c r="F27" s="62"/>
      <c r="G27" s="62"/>
    </row>
    <row r="28" spans="1:7" x14ac:dyDescent="0.25">
      <c r="A28" t="s">
        <v>23</v>
      </c>
      <c r="B28" s="50">
        <f t="shared" si="0"/>
        <v>22.5</v>
      </c>
      <c r="F28" s="62"/>
      <c r="G28" s="62"/>
    </row>
    <row r="29" spans="1:7" x14ac:dyDescent="0.25">
      <c r="A29" t="s">
        <v>25</v>
      </c>
      <c r="B29" s="50">
        <f t="shared" si="0"/>
        <v>22.5</v>
      </c>
      <c r="F29" s="62"/>
      <c r="G29" s="62"/>
    </row>
    <row r="30" spans="1:7" x14ac:dyDescent="0.25">
      <c r="A30" t="s">
        <v>26</v>
      </c>
      <c r="B30" s="50">
        <f t="shared" si="0"/>
        <v>22.5</v>
      </c>
      <c r="F30" s="62"/>
      <c r="G30" s="62"/>
    </row>
    <row r="31" spans="1:7" x14ac:dyDescent="0.25">
      <c r="A31" t="s">
        <v>30</v>
      </c>
      <c r="B31" s="60">
        <f t="shared" si="0"/>
        <v>22.5</v>
      </c>
      <c r="C31" s="58"/>
      <c r="F31" s="62"/>
      <c r="G31" s="62"/>
    </row>
    <row r="32" spans="1:7" x14ac:dyDescent="0.25">
      <c r="A32" t="s">
        <v>21</v>
      </c>
      <c r="B32" s="50">
        <f t="shared" si="0"/>
        <v>22.5</v>
      </c>
      <c r="F32" s="62"/>
      <c r="G32" s="62"/>
    </row>
    <row r="33" spans="1:7" x14ac:dyDescent="0.25">
      <c r="A33" t="s">
        <v>20</v>
      </c>
      <c r="B33" s="50">
        <f t="shared" si="0"/>
        <v>22.5</v>
      </c>
      <c r="F33" s="62"/>
      <c r="G33" s="62"/>
    </row>
    <row r="34" spans="1:7" x14ac:dyDescent="0.25">
      <c r="A34" t="s">
        <v>36</v>
      </c>
      <c r="B34" s="50">
        <f t="shared" si="0"/>
        <v>22.5</v>
      </c>
      <c r="F34" s="62"/>
      <c r="G34" s="62"/>
    </row>
    <row r="35" spans="1:7" x14ac:dyDescent="0.25">
      <c r="A35" t="s">
        <v>25</v>
      </c>
      <c r="B35" s="60">
        <f t="shared" si="0"/>
        <v>22.5</v>
      </c>
      <c r="C35" s="58"/>
      <c r="F35" s="62"/>
      <c r="G35" s="62"/>
    </row>
    <row r="36" spans="1:7" x14ac:dyDescent="0.25">
      <c r="A36" t="s">
        <v>239</v>
      </c>
      <c r="B36" s="60">
        <v>23</v>
      </c>
      <c r="C36" s="58"/>
      <c r="F36" s="62"/>
      <c r="G36" s="62"/>
    </row>
    <row r="37" spans="1:7" x14ac:dyDescent="0.25">
      <c r="A37" t="s">
        <v>243</v>
      </c>
      <c r="B37" s="50">
        <v>23</v>
      </c>
    </row>
    <row r="38" spans="1:7"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style="58" bestFit="1" customWidth="1"/>
    <col min="10" max="10" width="15.85546875" bestFit="1" customWidth="1"/>
  </cols>
  <sheetData>
    <row r="1" spans="1:19" x14ac:dyDescent="0.25">
      <c r="A1" s="2" t="s">
        <v>38</v>
      </c>
      <c r="B1" s="2" t="s">
        <v>230</v>
      </c>
      <c r="C1" s="2" t="s">
        <v>244</v>
      </c>
      <c r="D1" s="2" t="s">
        <v>3</v>
      </c>
      <c r="E1" s="2" t="s">
        <v>37</v>
      </c>
      <c r="F1" s="2" t="s">
        <v>29</v>
      </c>
      <c r="G1" s="68" t="s">
        <v>282</v>
      </c>
      <c r="H1" s="2" t="s">
        <v>33</v>
      </c>
      <c r="I1" s="2" t="s">
        <v>217</v>
      </c>
      <c r="J1" s="2" t="s">
        <v>245</v>
      </c>
      <c r="K1" s="2" t="s">
        <v>330</v>
      </c>
      <c r="R1" t="s">
        <v>38</v>
      </c>
      <c r="S1" t="s">
        <v>321</v>
      </c>
    </row>
    <row r="2" spans="1:19" x14ac:dyDescent="0.25">
      <c r="A2" s="58" t="s">
        <v>32</v>
      </c>
      <c r="B2" s="58" t="s">
        <v>231</v>
      </c>
      <c r="C2" s="58" t="s">
        <v>2</v>
      </c>
      <c r="D2" s="58" t="s">
        <v>3</v>
      </c>
      <c r="E2" s="58" t="s">
        <v>278</v>
      </c>
      <c r="F2" s="58" t="s">
        <v>29</v>
      </c>
      <c r="G2" s="58" t="s">
        <v>283</v>
      </c>
      <c r="H2" s="58" t="s">
        <v>32</v>
      </c>
      <c r="I2" s="58" t="s">
        <v>239</v>
      </c>
      <c r="J2" s="58" t="s">
        <v>218</v>
      </c>
      <c r="K2" s="58"/>
      <c r="R2" t="s">
        <v>230</v>
      </c>
      <c r="S2" t="s">
        <v>322</v>
      </c>
    </row>
    <row r="3" spans="1:19" x14ac:dyDescent="0.25">
      <c r="A3" s="58" t="s">
        <v>288</v>
      </c>
      <c r="B3" s="58"/>
      <c r="C3" s="61" t="s">
        <v>24</v>
      </c>
      <c r="D3" s="58"/>
      <c r="E3" s="61" t="s">
        <v>14</v>
      </c>
      <c r="F3" s="58"/>
      <c r="G3" s="58" t="s">
        <v>284</v>
      </c>
      <c r="H3" s="58" t="s">
        <v>239</v>
      </c>
      <c r="I3" s="58" t="s">
        <v>243</v>
      </c>
      <c r="J3" s="58" t="s">
        <v>219</v>
      </c>
      <c r="K3" s="58"/>
      <c r="R3" t="s">
        <v>244</v>
      </c>
      <c r="S3" t="s">
        <v>326</v>
      </c>
    </row>
    <row r="4" spans="1:19" x14ac:dyDescent="0.25">
      <c r="A4" s="58"/>
      <c r="B4" s="58"/>
      <c r="C4" s="61" t="s">
        <v>22</v>
      </c>
      <c r="D4" s="61"/>
      <c r="E4" s="61" t="s">
        <v>51</v>
      </c>
      <c r="F4" s="58"/>
      <c r="G4" s="58" t="s">
        <v>285</v>
      </c>
      <c r="H4" s="58" t="s">
        <v>243</v>
      </c>
      <c r="I4" s="58"/>
      <c r="J4" s="58" t="s">
        <v>220</v>
      </c>
      <c r="K4" s="58"/>
      <c r="R4" t="s">
        <v>3</v>
      </c>
      <c r="S4" t="s">
        <v>323</v>
      </c>
    </row>
    <row r="5" spans="1:19" x14ac:dyDescent="0.25">
      <c r="A5" s="58"/>
      <c r="B5" s="58"/>
      <c r="C5" s="61" t="s">
        <v>309</v>
      </c>
      <c r="D5" s="61"/>
      <c r="E5" s="61" t="s">
        <v>36</v>
      </c>
      <c r="F5" s="58"/>
      <c r="G5" s="58" t="s">
        <v>286</v>
      </c>
      <c r="H5" s="58" t="s">
        <v>288</v>
      </c>
      <c r="I5" s="58"/>
      <c r="J5" s="58" t="s">
        <v>221</v>
      </c>
      <c r="K5" s="58"/>
      <c r="R5" t="s">
        <v>37</v>
      </c>
      <c r="S5" t="s">
        <v>327</v>
      </c>
    </row>
    <row r="6" spans="1:19" x14ac:dyDescent="0.25">
      <c r="A6" s="58"/>
      <c r="B6" s="58"/>
      <c r="C6" s="58" t="s">
        <v>71</v>
      </c>
      <c r="D6" s="58"/>
      <c r="E6" s="61" t="s">
        <v>13</v>
      </c>
      <c r="F6" s="58"/>
      <c r="H6" s="58"/>
      <c r="I6" s="58"/>
      <c r="J6" s="58" t="s">
        <v>222</v>
      </c>
      <c r="K6" s="58"/>
      <c r="R6" t="s">
        <v>29</v>
      </c>
      <c r="S6" t="s">
        <v>324</v>
      </c>
    </row>
    <row r="7" spans="1:19" x14ac:dyDescent="0.25">
      <c r="A7" s="58"/>
      <c r="B7" s="58"/>
      <c r="C7" s="58" t="s">
        <v>276</v>
      </c>
      <c r="D7" s="58"/>
      <c r="E7" s="61" t="s">
        <v>235</v>
      </c>
      <c r="F7" s="58"/>
      <c r="H7" s="58"/>
      <c r="I7" s="58"/>
      <c r="J7" s="58" t="s">
        <v>223</v>
      </c>
      <c r="K7" s="58"/>
      <c r="R7" t="s">
        <v>282</v>
      </c>
      <c r="S7" t="s">
        <v>328</v>
      </c>
    </row>
    <row r="8" spans="1:19" x14ac:dyDescent="0.25">
      <c r="A8" s="58"/>
      <c r="B8" s="58"/>
      <c r="C8" s="58" t="s">
        <v>277</v>
      </c>
      <c r="D8" s="58"/>
      <c r="E8" s="61" t="s">
        <v>25</v>
      </c>
      <c r="F8" s="58"/>
      <c r="H8" s="58"/>
      <c r="I8" s="58"/>
      <c r="J8" s="58" t="s">
        <v>224</v>
      </c>
      <c r="K8" s="58"/>
      <c r="R8" t="s">
        <v>33</v>
      </c>
      <c r="S8" t="s">
        <v>333</v>
      </c>
    </row>
    <row r="9" spans="1:19" x14ac:dyDescent="0.25">
      <c r="A9" s="58"/>
      <c r="B9" s="58"/>
      <c r="C9" s="58" t="s">
        <v>312</v>
      </c>
      <c r="D9" s="58"/>
      <c r="E9" s="61" t="s">
        <v>279</v>
      </c>
      <c r="F9" s="58"/>
      <c r="H9" s="58"/>
      <c r="I9" s="58"/>
      <c r="J9" s="58" t="s">
        <v>225</v>
      </c>
      <c r="K9" s="58"/>
      <c r="R9" t="s">
        <v>217</v>
      </c>
      <c r="S9" t="s">
        <v>325</v>
      </c>
    </row>
    <row r="10" spans="1:19" x14ac:dyDescent="0.25">
      <c r="A10" s="58"/>
      <c r="B10" s="58"/>
      <c r="C10" s="58" t="s">
        <v>313</v>
      </c>
      <c r="D10" s="58"/>
      <c r="E10" s="61" t="s">
        <v>15</v>
      </c>
      <c r="F10" s="58"/>
      <c r="H10" s="58"/>
      <c r="I10" s="58"/>
      <c r="J10" s="58" t="s">
        <v>226</v>
      </c>
      <c r="K10" s="58"/>
      <c r="R10" t="s">
        <v>245</v>
      </c>
      <c r="S10" t="s">
        <v>329</v>
      </c>
    </row>
    <row r="11" spans="1:19" x14ac:dyDescent="0.25">
      <c r="A11" s="58"/>
      <c r="B11" s="58"/>
      <c r="C11" s="58"/>
      <c r="D11" s="58"/>
      <c r="E11" s="61" t="s">
        <v>16</v>
      </c>
      <c r="F11" s="58"/>
      <c r="H11" s="58"/>
      <c r="I11" s="58"/>
      <c r="J11" s="58" t="s">
        <v>227</v>
      </c>
      <c r="K11" s="58"/>
    </row>
    <row r="12" spans="1:19" x14ac:dyDescent="0.25">
      <c r="A12" s="58"/>
      <c r="B12" s="58"/>
      <c r="C12" s="58"/>
      <c r="D12" s="58"/>
      <c r="E12" s="61" t="s">
        <v>23</v>
      </c>
      <c r="F12" s="58"/>
      <c r="H12" s="58"/>
      <c r="I12" s="58"/>
      <c r="J12" s="58" t="s">
        <v>228</v>
      </c>
      <c r="K12" s="58"/>
      <c r="P12" s="34"/>
    </row>
    <row r="13" spans="1:19" x14ac:dyDescent="0.25">
      <c r="A13" s="58"/>
      <c r="B13" s="58"/>
      <c r="C13" s="58"/>
      <c r="D13" s="58"/>
      <c r="E13" s="58" t="s">
        <v>18</v>
      </c>
      <c r="F13" s="58"/>
      <c r="H13" s="58"/>
      <c r="I13" s="58"/>
      <c r="J13" s="58" t="s">
        <v>229</v>
      </c>
      <c r="K13" s="58"/>
      <c r="P13" s="34"/>
    </row>
    <row r="14" spans="1:19" x14ac:dyDescent="0.25">
      <c r="A14" s="58"/>
      <c r="B14" s="58"/>
      <c r="C14" s="58"/>
      <c r="D14" s="58"/>
      <c r="E14" s="58" t="s">
        <v>19</v>
      </c>
      <c r="F14" s="58"/>
      <c r="H14" s="58"/>
      <c r="I14" s="58"/>
      <c r="J14" s="58"/>
      <c r="K14" s="58"/>
      <c r="P14" s="34"/>
    </row>
    <row r="15" spans="1:19" x14ac:dyDescent="0.25">
      <c r="A15" s="58"/>
      <c r="B15" s="58"/>
      <c r="C15" s="58"/>
      <c r="D15" s="58"/>
      <c r="E15" s="61" t="s">
        <v>107</v>
      </c>
      <c r="F15" s="58"/>
      <c r="H15" s="58"/>
      <c r="I15" s="58"/>
      <c r="J15" s="58"/>
      <c r="K15" s="58"/>
    </row>
    <row r="16" spans="1:19" x14ac:dyDescent="0.25">
      <c r="A16" s="58"/>
      <c r="B16" s="58"/>
      <c r="C16" s="58"/>
      <c r="D16" s="58"/>
      <c r="E16" s="61" t="s">
        <v>234</v>
      </c>
      <c r="F16" s="58"/>
      <c r="H16" s="58"/>
      <c r="I16" s="58"/>
      <c r="J16" s="58"/>
      <c r="K16" s="58"/>
    </row>
    <row r="17" spans="1:11" x14ac:dyDescent="0.25">
      <c r="A17" s="58"/>
      <c r="B17" s="58"/>
      <c r="C17" s="58"/>
      <c r="D17" s="58"/>
      <c r="E17" s="61" t="s">
        <v>238</v>
      </c>
      <c r="F17" s="58"/>
      <c r="H17" s="58"/>
      <c r="I17" s="58"/>
      <c r="J17" s="58"/>
      <c r="K17" s="58"/>
    </row>
    <row r="18" spans="1:11" x14ac:dyDescent="0.25">
      <c r="A18" s="58"/>
      <c r="B18" s="58"/>
      <c r="C18" s="58"/>
      <c r="D18" s="58"/>
      <c r="E18" s="61" t="s">
        <v>236</v>
      </c>
      <c r="F18" s="58"/>
      <c r="H18" s="58"/>
      <c r="I18" s="58"/>
      <c r="J18" s="58"/>
      <c r="K18" s="58"/>
    </row>
    <row r="19" spans="1:11" x14ac:dyDescent="0.25">
      <c r="A19" s="58"/>
      <c r="B19" s="58"/>
      <c r="C19" s="58"/>
      <c r="D19" s="58"/>
      <c r="E19" s="61" t="s">
        <v>233</v>
      </c>
      <c r="F19" s="58"/>
      <c r="H19" s="58"/>
      <c r="I19" s="58"/>
      <c r="J19" s="58"/>
      <c r="K19" s="58"/>
    </row>
    <row r="20" spans="1:11" x14ac:dyDescent="0.25">
      <c r="A20" s="58"/>
      <c r="B20" s="58"/>
      <c r="C20" s="58"/>
      <c r="D20" s="58"/>
      <c r="E20" s="61" t="s">
        <v>237</v>
      </c>
      <c r="F20" s="58"/>
      <c r="H20" s="58"/>
      <c r="I20" s="58"/>
      <c r="J20" s="58"/>
      <c r="K20" s="58"/>
    </row>
    <row r="21" spans="1:11" x14ac:dyDescent="0.25">
      <c r="A21" s="58"/>
      <c r="B21" s="58"/>
      <c r="C21" s="58"/>
      <c r="D21" s="58"/>
      <c r="E21" s="61" t="s">
        <v>49</v>
      </c>
      <c r="F21" s="58"/>
      <c r="H21" s="58"/>
      <c r="I21" s="58"/>
      <c r="J21" s="58"/>
      <c r="K21" s="58"/>
    </row>
    <row r="22" spans="1:11" x14ac:dyDescent="0.25">
      <c r="A22" s="58"/>
      <c r="B22" s="58"/>
      <c r="C22" s="58"/>
      <c r="D22" s="58"/>
      <c r="E22" s="61" t="s">
        <v>280</v>
      </c>
      <c r="F22" s="58"/>
      <c r="H22" s="58"/>
      <c r="I22" s="58"/>
      <c r="J22" s="58"/>
      <c r="K22" s="58"/>
    </row>
    <row r="23" spans="1:11" x14ac:dyDescent="0.25">
      <c r="A23" s="58"/>
      <c r="B23" s="58"/>
      <c r="C23" s="58"/>
      <c r="D23" s="58"/>
      <c r="E23" s="61" t="s">
        <v>21</v>
      </c>
      <c r="F23" s="58"/>
      <c r="H23" s="58"/>
      <c r="I23" s="58"/>
      <c r="J23" s="58"/>
      <c r="K23" s="58"/>
    </row>
    <row r="24" spans="1:11" x14ac:dyDescent="0.25">
      <c r="A24" s="58"/>
      <c r="B24" s="58"/>
      <c r="C24" s="58"/>
      <c r="D24" s="58"/>
      <c r="E24" s="61" t="s">
        <v>106</v>
      </c>
      <c r="F24" s="58"/>
      <c r="H24" s="58"/>
      <c r="I24" s="58"/>
      <c r="J24" s="58"/>
      <c r="K24" s="58"/>
    </row>
    <row r="25" spans="1:11" x14ac:dyDescent="0.25">
      <c r="A25" s="58"/>
      <c r="B25" s="58"/>
      <c r="C25" s="58"/>
      <c r="D25" s="58"/>
      <c r="E25" s="58" t="s">
        <v>287</v>
      </c>
      <c r="F25" s="58"/>
      <c r="H25" s="58"/>
      <c r="I25" s="58"/>
      <c r="J25" s="58"/>
      <c r="K25" s="58"/>
    </row>
    <row r="26" spans="1:11" x14ac:dyDescent="0.25">
      <c r="A26" s="58"/>
      <c r="B26" s="58"/>
      <c r="C26" s="58"/>
      <c r="D26" s="58"/>
      <c r="E26" s="61" t="s">
        <v>289</v>
      </c>
      <c r="F26" s="62"/>
      <c r="G26" s="62"/>
      <c r="H26" s="58"/>
      <c r="I26" s="58"/>
      <c r="J26" s="58"/>
      <c r="K26" s="58"/>
    </row>
    <row r="27" spans="1:11" x14ac:dyDescent="0.25">
      <c r="A27" s="58"/>
      <c r="B27" s="58"/>
      <c r="C27" s="58"/>
      <c r="D27" s="58"/>
      <c r="E27" s="61" t="s">
        <v>87</v>
      </c>
      <c r="F27" s="62"/>
      <c r="G27" s="62"/>
      <c r="H27" s="58"/>
      <c r="I27" s="58"/>
      <c r="J27" s="58"/>
      <c r="K27" s="58"/>
    </row>
    <row r="28" spans="1:11" x14ac:dyDescent="0.25">
      <c r="A28" s="58"/>
      <c r="B28" s="58"/>
      <c r="C28" s="58"/>
      <c r="D28" s="58"/>
      <c r="E28" s="61" t="s">
        <v>15</v>
      </c>
      <c r="F28" s="62"/>
      <c r="G28" s="62"/>
      <c r="H28" s="58"/>
      <c r="I28" s="58"/>
      <c r="J28" s="58"/>
      <c r="K28" s="58"/>
    </row>
    <row r="29" spans="1:11" x14ac:dyDescent="0.25">
      <c r="A29" s="58"/>
      <c r="B29" s="58"/>
      <c r="C29" s="58"/>
      <c r="D29" s="58"/>
      <c r="E29" s="61" t="s">
        <v>290</v>
      </c>
      <c r="F29" s="62"/>
      <c r="G29" s="62"/>
      <c r="H29" s="58"/>
      <c r="I29" s="58"/>
      <c r="J29" s="58"/>
      <c r="K29" s="58"/>
    </row>
    <row r="30" spans="1:11" x14ac:dyDescent="0.25">
      <c r="A30" s="58"/>
      <c r="B30" s="58"/>
      <c r="C30" s="58"/>
      <c r="D30" s="58"/>
      <c r="E30" s="66" t="s">
        <v>291</v>
      </c>
      <c r="F30" s="62"/>
      <c r="G30" s="62"/>
      <c r="H30" s="58"/>
      <c r="I30" s="58"/>
      <c r="J30" s="58"/>
      <c r="K30" s="58"/>
    </row>
    <row r="31" spans="1:11" x14ac:dyDescent="0.25">
      <c r="A31" s="58"/>
      <c r="B31" s="58"/>
      <c r="C31" s="58"/>
      <c r="D31" s="58"/>
      <c r="E31" s="66" t="s">
        <v>292</v>
      </c>
      <c r="F31" s="62"/>
      <c r="G31" s="62"/>
      <c r="H31" s="58"/>
      <c r="I31" s="58"/>
      <c r="J31" s="58"/>
      <c r="K31" s="58"/>
    </row>
    <row r="32" spans="1:11" x14ac:dyDescent="0.25">
      <c r="A32" s="58"/>
      <c r="B32" s="58"/>
      <c r="C32" s="58"/>
      <c r="D32" s="58"/>
      <c r="E32" s="67" t="s">
        <v>293</v>
      </c>
      <c r="F32" s="62"/>
      <c r="G32" s="62"/>
      <c r="H32" s="58"/>
      <c r="I32" s="58"/>
      <c r="J32" s="58"/>
      <c r="K32" s="58"/>
    </row>
    <row r="33" spans="1:11" x14ac:dyDescent="0.25">
      <c r="A33" s="58"/>
      <c r="B33" s="58"/>
      <c r="C33" s="58"/>
      <c r="D33" s="58"/>
      <c r="E33" s="67" t="s">
        <v>294</v>
      </c>
      <c r="F33" s="62"/>
      <c r="G33" s="62"/>
      <c r="H33" s="58"/>
      <c r="I33" s="58"/>
      <c r="J33" s="58"/>
      <c r="K33" s="58"/>
    </row>
    <row r="34" spans="1:11" x14ac:dyDescent="0.25">
      <c r="A34" s="58"/>
      <c r="B34" s="58"/>
      <c r="C34" s="58"/>
      <c r="D34" s="58"/>
      <c r="E34" s="67" t="s">
        <v>295</v>
      </c>
      <c r="F34" s="62"/>
      <c r="G34" s="62"/>
      <c r="H34" s="58"/>
      <c r="I34" s="58"/>
      <c r="J34" s="58"/>
      <c r="K34" s="58"/>
    </row>
    <row r="35" spans="1:11" x14ac:dyDescent="0.25">
      <c r="A35" s="58"/>
      <c r="B35" s="58"/>
      <c r="C35" s="58"/>
      <c r="D35" s="58"/>
      <c r="E35" s="67" t="s">
        <v>296</v>
      </c>
      <c r="F35" s="62"/>
      <c r="G35" s="62"/>
      <c r="H35" s="58"/>
      <c r="I35" s="58"/>
      <c r="J35" s="58"/>
      <c r="K35" s="58"/>
    </row>
    <row r="36" spans="1:11" x14ac:dyDescent="0.25">
      <c r="A36" s="58"/>
      <c r="B36" s="58"/>
      <c r="C36" s="58"/>
      <c r="D36" s="58"/>
      <c r="E36" s="67" t="s">
        <v>297</v>
      </c>
      <c r="F36" s="62"/>
      <c r="G36" s="62"/>
      <c r="H36" s="58"/>
      <c r="I36" s="58"/>
      <c r="J36" s="58"/>
      <c r="K36" s="58"/>
    </row>
    <row r="37" spans="1:11" x14ac:dyDescent="0.25">
      <c r="A37" s="58"/>
      <c r="B37" s="58"/>
      <c r="C37" s="58"/>
      <c r="D37" s="58"/>
      <c r="E37" s="67" t="s">
        <v>298</v>
      </c>
      <c r="F37" s="58"/>
      <c r="H37" s="58"/>
      <c r="I37" s="58"/>
      <c r="J37" s="58"/>
      <c r="K37" s="58"/>
    </row>
    <row r="38" spans="1:11" x14ac:dyDescent="0.25">
      <c r="A38" s="58"/>
      <c r="B38" s="58"/>
      <c r="C38" s="58"/>
      <c r="D38" s="58"/>
      <c r="E38" s="67" t="s">
        <v>299</v>
      </c>
      <c r="F38" s="58"/>
      <c r="H38" s="58"/>
      <c r="I38" s="58"/>
      <c r="J38" s="58"/>
      <c r="K38" s="58"/>
    </row>
    <row r="39" spans="1:11" x14ac:dyDescent="0.25">
      <c r="A39" s="58"/>
      <c r="B39" s="58"/>
      <c r="C39" s="58"/>
      <c r="D39" s="58"/>
      <c r="E39" s="67" t="s">
        <v>300</v>
      </c>
      <c r="F39" s="58"/>
      <c r="H39" s="58"/>
      <c r="I39" s="58"/>
      <c r="J39" s="58"/>
      <c r="K39" s="58"/>
    </row>
    <row r="40" spans="1:11" x14ac:dyDescent="0.25">
      <c r="A40" s="58"/>
      <c r="B40" s="58"/>
      <c r="C40" s="58"/>
      <c r="D40" s="58"/>
      <c r="E40" s="67" t="s">
        <v>301</v>
      </c>
      <c r="F40" s="58"/>
      <c r="H40" s="58"/>
      <c r="I40" s="58"/>
      <c r="J40" s="58"/>
      <c r="K40" s="58"/>
    </row>
    <row r="41" spans="1:11" x14ac:dyDescent="0.25">
      <c r="A41" s="58"/>
      <c r="B41" s="58"/>
      <c r="C41" s="58"/>
      <c r="D41" s="58"/>
      <c r="E41" s="67" t="s">
        <v>302</v>
      </c>
      <c r="F41" s="58"/>
      <c r="H41" s="58"/>
      <c r="I41" s="58"/>
      <c r="J41" s="58"/>
      <c r="K41" s="58"/>
    </row>
    <row r="42" spans="1:11" x14ac:dyDescent="0.25">
      <c r="A42" s="58"/>
      <c r="B42" s="58"/>
      <c r="C42" s="58"/>
      <c r="D42" s="58"/>
      <c r="E42" s="67" t="s">
        <v>303</v>
      </c>
      <c r="F42" s="58"/>
      <c r="H42" s="58"/>
      <c r="I42" s="58"/>
      <c r="J42" s="58"/>
      <c r="K42" s="58"/>
    </row>
    <row r="43" spans="1:11" x14ac:dyDescent="0.25">
      <c r="A43" s="58"/>
      <c r="B43" s="58"/>
      <c r="C43" s="58"/>
      <c r="D43" s="58"/>
      <c r="E43" s="67" t="s">
        <v>304</v>
      </c>
      <c r="F43" s="58"/>
      <c r="H43" s="58"/>
      <c r="I43" s="58"/>
      <c r="J43" s="58"/>
      <c r="K43" s="58"/>
    </row>
    <row r="44" spans="1:11" x14ac:dyDescent="0.25">
      <c r="A44" s="58"/>
      <c r="B44" s="58"/>
      <c r="C44" s="58"/>
      <c r="D44" s="58"/>
      <c r="E44" s="67" t="s">
        <v>305</v>
      </c>
      <c r="F44" s="58"/>
      <c r="H44" s="58"/>
      <c r="I44" s="58"/>
      <c r="J44" s="58"/>
      <c r="K44" s="58"/>
    </row>
    <row r="45" spans="1:11" x14ac:dyDescent="0.25">
      <c r="A45" s="58"/>
      <c r="B45" s="58"/>
      <c r="C45" s="58"/>
      <c r="D45" s="58"/>
      <c r="E45" s="67" t="s">
        <v>306</v>
      </c>
      <c r="F45" s="58"/>
      <c r="H45" s="58"/>
      <c r="I45" s="58"/>
      <c r="J45" s="58"/>
      <c r="K45" s="58"/>
    </row>
    <row r="46" spans="1:11" x14ac:dyDescent="0.25">
      <c r="A46" s="58"/>
      <c r="B46" s="58"/>
      <c r="C46" s="58"/>
      <c r="D46" s="58"/>
      <c r="E46" s="67" t="s">
        <v>307</v>
      </c>
      <c r="F46" s="58"/>
      <c r="H46" s="58"/>
      <c r="I46" s="58"/>
      <c r="J46" s="58"/>
      <c r="K46" s="58"/>
    </row>
    <row r="47" spans="1:11" x14ac:dyDescent="0.25">
      <c r="A47" s="58"/>
      <c r="B47" s="58"/>
      <c r="C47" s="58"/>
      <c r="D47" s="58"/>
      <c r="E47" s="67" t="s">
        <v>308</v>
      </c>
      <c r="F47" s="58"/>
      <c r="H47" s="58"/>
      <c r="I47" s="58"/>
      <c r="J47" s="58"/>
      <c r="K47" s="58"/>
    </row>
    <row r="48" spans="1:11" x14ac:dyDescent="0.25">
      <c r="A48" s="58"/>
      <c r="B48" s="58"/>
      <c r="C48" s="58"/>
      <c r="D48" s="58"/>
      <c r="E48" s="67" t="s">
        <v>310</v>
      </c>
      <c r="F48" s="58"/>
      <c r="H48" s="58"/>
      <c r="I48" s="58"/>
      <c r="J48" s="58"/>
      <c r="K48" s="58"/>
    </row>
    <row r="49" spans="1:11" x14ac:dyDescent="0.25">
      <c r="A49" s="58"/>
      <c r="B49" s="58"/>
      <c r="C49" s="58"/>
      <c r="D49" s="58"/>
      <c r="E49" s="67" t="s">
        <v>311</v>
      </c>
      <c r="F49" s="58"/>
      <c r="H49" s="58"/>
      <c r="I49" s="58"/>
      <c r="J49" s="58"/>
      <c r="K49" s="58"/>
    </row>
    <row r="50" spans="1:11" x14ac:dyDescent="0.25">
      <c r="A50" s="58"/>
      <c r="B50" s="58"/>
      <c r="C50" s="58"/>
      <c r="D50" s="58"/>
      <c r="E50" s="61" t="s">
        <v>314</v>
      </c>
      <c r="F50" s="58"/>
      <c r="H50" s="58"/>
      <c r="I50" s="58"/>
      <c r="J50" s="58"/>
      <c r="K50" s="58"/>
    </row>
    <row r="51" spans="1:11" x14ac:dyDescent="0.25">
      <c r="A51" s="58"/>
      <c r="B51" s="58"/>
      <c r="C51" s="58"/>
      <c r="D51" s="58"/>
      <c r="E51" s="61" t="s">
        <v>315</v>
      </c>
      <c r="F51" s="58"/>
      <c r="H51" s="58"/>
      <c r="I51" s="58"/>
      <c r="J51" s="58"/>
      <c r="K51" s="58"/>
    </row>
    <row r="52" spans="1:11" x14ac:dyDescent="0.25">
      <c r="A52" s="58"/>
      <c r="B52" s="58"/>
      <c r="C52" s="58"/>
      <c r="D52" s="58"/>
      <c r="E52" s="61" t="s">
        <v>316</v>
      </c>
      <c r="F52" s="58"/>
      <c r="H52" s="58"/>
      <c r="I52" s="58"/>
      <c r="J52" s="58"/>
      <c r="K52" s="58"/>
    </row>
    <row r="53" spans="1:11" x14ac:dyDescent="0.25">
      <c r="A53" s="58"/>
      <c r="B53" s="58"/>
      <c r="C53" s="58"/>
      <c r="D53" s="58"/>
      <c r="E53" s="61" t="s">
        <v>50</v>
      </c>
      <c r="F53" s="58"/>
      <c r="H53" s="58"/>
      <c r="I53" s="58"/>
      <c r="J53" s="58"/>
      <c r="K53" s="58"/>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36"/>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s="58" customFormat="1" x14ac:dyDescent="0.25">
      <c r="A5" s="58" t="s">
        <v>3</v>
      </c>
      <c r="B5" s="59" t="s">
        <v>3</v>
      </c>
      <c r="C5" s="65" t="s">
        <v>10</v>
      </c>
      <c r="D5" s="65" t="s">
        <v>177</v>
      </c>
      <c r="E5" s="65" t="s">
        <v>72</v>
      </c>
      <c r="F5" s="65" t="s">
        <v>73</v>
      </c>
      <c r="G5" s="65" t="s">
        <v>74</v>
      </c>
      <c r="H5" s="65" t="s">
        <v>75</v>
      </c>
      <c r="I5" s="65" t="s">
        <v>76</v>
      </c>
      <c r="J5" s="65" t="s">
        <v>77</v>
      </c>
      <c r="K5" s="65" t="s">
        <v>78</v>
      </c>
      <c r="L5" s="65" t="s">
        <v>79</v>
      </c>
      <c r="M5" s="59" t="s">
        <v>80</v>
      </c>
      <c r="N5" s="59" t="s">
        <v>81</v>
      </c>
      <c r="O5" s="59"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7" x14ac:dyDescent="0.25">
      <c r="A17" s="3" t="s">
        <v>3</v>
      </c>
      <c r="B17" s="3" t="s">
        <v>320</v>
      </c>
    </row>
    <row r="25" spans="1:7" x14ac:dyDescent="0.25">
      <c r="B25" s="59"/>
      <c r="C25" s="59"/>
    </row>
    <row r="26" spans="1:7" x14ac:dyDescent="0.25">
      <c r="F26" s="62"/>
      <c r="G26" s="62"/>
    </row>
    <row r="27" spans="1:7" x14ac:dyDescent="0.25">
      <c r="F27" s="62"/>
      <c r="G27" s="62"/>
    </row>
    <row r="28" spans="1:7" x14ac:dyDescent="0.25">
      <c r="F28" s="62"/>
      <c r="G28" s="62"/>
    </row>
    <row r="29" spans="1:7" x14ac:dyDescent="0.25">
      <c r="F29" s="62"/>
      <c r="G29" s="62"/>
    </row>
    <row r="30" spans="1:7" x14ac:dyDescent="0.25">
      <c r="F30" s="62"/>
      <c r="G30" s="62"/>
    </row>
    <row r="31" spans="1:7" x14ac:dyDescent="0.25">
      <c r="B31" s="59"/>
      <c r="C31" s="59"/>
      <c r="F31" s="62"/>
      <c r="G31" s="62"/>
    </row>
    <row r="32" spans="1:7" x14ac:dyDescent="0.25">
      <c r="F32" s="62"/>
      <c r="G32" s="62"/>
    </row>
    <row r="33" spans="2:7" x14ac:dyDescent="0.25">
      <c r="F33" s="62"/>
      <c r="G33" s="62"/>
    </row>
    <row r="34" spans="2:7" x14ac:dyDescent="0.25">
      <c r="F34" s="62"/>
      <c r="G34" s="62"/>
    </row>
    <row r="35" spans="2:7" x14ac:dyDescent="0.25">
      <c r="B35" s="59"/>
      <c r="C35" s="59"/>
      <c r="F35" s="62"/>
      <c r="G35" s="62"/>
    </row>
    <row r="36" spans="2:7" x14ac:dyDescent="0.25">
      <c r="B36" s="59"/>
      <c r="C36" s="59"/>
      <c r="F36" s="62"/>
      <c r="G36" s="62"/>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s="58" t="s">
        <v>288</v>
      </c>
      <c r="C25" s="59" t="s">
        <v>56</v>
      </c>
      <c r="G25" s="3"/>
      <c r="H25" s="3"/>
      <c r="I25" s="3"/>
      <c r="J25" s="3"/>
    </row>
    <row r="26" spans="1:23" x14ac:dyDescent="0.25">
      <c r="A26" s="2" t="s">
        <v>230</v>
      </c>
      <c r="B26" t="s">
        <v>231</v>
      </c>
      <c r="C26" s="3" t="s">
        <v>56</v>
      </c>
      <c r="F26" s="62" t="s">
        <v>2</v>
      </c>
      <c r="G26" s="64" t="s">
        <v>331</v>
      </c>
      <c r="H26" s="3"/>
      <c r="I26" s="3"/>
      <c r="J26" s="3"/>
    </row>
    <row r="27" spans="1:23" x14ac:dyDescent="0.25">
      <c r="A27" s="2" t="s">
        <v>244</v>
      </c>
      <c r="B27" t="s">
        <v>2</v>
      </c>
      <c r="C27" t="s">
        <v>52</v>
      </c>
      <c r="F27" s="63" t="s">
        <v>24</v>
      </c>
      <c r="G27" s="64" t="s">
        <v>331</v>
      </c>
    </row>
    <row r="28" spans="1:23" x14ac:dyDescent="0.25">
      <c r="A28" s="2"/>
      <c r="B28" t="s">
        <v>3</v>
      </c>
      <c r="C28" t="s">
        <v>3</v>
      </c>
      <c r="F28" s="63" t="s">
        <v>22</v>
      </c>
      <c r="G28" s="64" t="s">
        <v>331</v>
      </c>
    </row>
    <row r="29" spans="1:23" x14ac:dyDescent="0.25">
      <c r="A29" s="2"/>
      <c r="B29" s="1" t="s">
        <v>24</v>
      </c>
      <c r="C29" t="s">
        <v>52</v>
      </c>
      <c r="F29" s="63" t="s">
        <v>309</v>
      </c>
      <c r="G29" s="64" t="s">
        <v>331</v>
      </c>
      <c r="H29" s="3"/>
      <c r="I29" s="3"/>
      <c r="J29" s="3"/>
      <c r="K29" s="3"/>
      <c r="L29" s="3"/>
    </row>
    <row r="30" spans="1:23" x14ac:dyDescent="0.25">
      <c r="A30" s="2"/>
      <c r="B30" s="1" t="s">
        <v>22</v>
      </c>
      <c r="C30" t="s">
        <v>52</v>
      </c>
      <c r="F30" s="63" t="s">
        <v>71</v>
      </c>
      <c r="G30" s="64" t="s">
        <v>331</v>
      </c>
      <c r="H30" s="3"/>
      <c r="I30" s="3"/>
      <c r="J30" s="3"/>
      <c r="K30" s="3"/>
      <c r="L30" s="3"/>
    </row>
    <row r="31" spans="1:23" x14ac:dyDescent="0.25">
      <c r="A31" s="2"/>
      <c r="B31" s="61" t="s">
        <v>309</v>
      </c>
      <c r="C31" s="58" t="s">
        <v>52</v>
      </c>
      <c r="F31" s="63" t="s">
        <v>276</v>
      </c>
      <c r="G31" s="64" t="s">
        <v>331</v>
      </c>
      <c r="H31" s="3"/>
      <c r="I31" s="3"/>
      <c r="J31" s="3"/>
      <c r="K31" s="3"/>
      <c r="L31" s="3"/>
    </row>
    <row r="32" spans="1:23" x14ac:dyDescent="0.25">
      <c r="A32" s="2"/>
      <c r="B32" s="1" t="s">
        <v>71</v>
      </c>
      <c r="C32" t="s">
        <v>52</v>
      </c>
      <c r="F32" s="63" t="s">
        <v>277</v>
      </c>
      <c r="G32" s="64" t="s">
        <v>331</v>
      </c>
      <c r="H32" s="3"/>
      <c r="I32" s="3"/>
      <c r="J32" s="3"/>
      <c r="K32" s="3"/>
      <c r="L32" s="3"/>
    </row>
    <row r="33" spans="1:7" x14ac:dyDescent="0.25">
      <c r="A33" s="2"/>
      <c r="B33" s="1" t="s">
        <v>276</v>
      </c>
      <c r="C33" t="s">
        <v>52</v>
      </c>
      <c r="F33" s="62" t="s">
        <v>312</v>
      </c>
      <c r="G33" s="64" t="s">
        <v>331</v>
      </c>
    </row>
    <row r="34" spans="1:7" x14ac:dyDescent="0.25">
      <c r="A34" s="2"/>
      <c r="B34" s="1" t="s">
        <v>277</v>
      </c>
      <c r="C34" t="s">
        <v>52</v>
      </c>
      <c r="F34" s="62" t="s">
        <v>313</v>
      </c>
      <c r="G34" s="64" t="s">
        <v>331</v>
      </c>
    </row>
    <row r="35" spans="1:7" x14ac:dyDescent="0.25">
      <c r="A35" s="2"/>
      <c r="B35" s="58" t="s">
        <v>312</v>
      </c>
      <c r="C35" s="58" t="s">
        <v>52</v>
      </c>
      <c r="F35" s="63" t="s">
        <v>87</v>
      </c>
      <c r="G35" s="64" t="s">
        <v>331</v>
      </c>
    </row>
    <row r="36" spans="1:7" x14ac:dyDescent="0.25">
      <c r="A36" s="2"/>
      <c r="B36" s="58" t="s">
        <v>313</v>
      </c>
      <c r="C36" s="58" t="s">
        <v>52</v>
      </c>
      <c r="F36" s="62" t="s">
        <v>29</v>
      </c>
      <c r="G36" s="64"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v>
      </c>
      <c r="C6" s="6" t="s">
        <v>3</v>
      </c>
      <c r="D6" s="6" t="s">
        <v>10</v>
      </c>
      <c r="E6" s="12">
        <v>0</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25">
      <c r="A7" s="6" t="s">
        <v>113</v>
      </c>
      <c r="B7" s="6" t="s">
        <v>38</v>
      </c>
      <c r="C7" s="6" t="s">
        <v>288</v>
      </c>
      <c r="D7" s="6" t="s">
        <v>337</v>
      </c>
      <c r="E7" s="12">
        <v>1</v>
      </c>
      <c r="F7" s="6" t="s">
        <v>58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Algae</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ADD888F-FC5C-40C9-BFC5-F0695177F495}">
          <x14:formula1>
            <xm:f>IF($B6="Transportation",  transport_units, INDIRECT(_xlfn.XLOOKUP($C6, 'SI - Units'!$F$26:$F$36,'SI - Units'!$G$26:$G$36,"mass",0)))</xm:f>
          </x14:formula1>
          <xm:sqref>F6:F100</xm:sqref>
        </x14:dataValidation>
        <x14:dataValidation type="list" allowBlank="1" showInputMessage="1" showErrorMessage="1" xr:uid="{B9D69BEF-4C08-4265-B9E2-E34497675518}">
          <x14:formula1>
            <xm:f>INDIRECT("p_"&amp;_xlfn.XLOOKUP($C6,'SI - Units'!$F$26:$F$36,'SI - Units'!$G$26:$G$36,"mass",0))</xm:f>
          </x14:formula1>
          <xm:sqref>O6:O100</xm:sqref>
        </x14:dataValidation>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 type="list" allowBlank="1" showInputMessage="1" showErrorMessage="1" xr:uid="{08013760-55D1-4A93-9CB8-B574F188F52A}">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0E608-C708-4592-A382-514CDCA9BAD1}">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71">
        <v>1</v>
      </c>
      <c r="F6" s="6" t="s">
        <v>58</v>
      </c>
      <c r="G6" s="25"/>
      <c r="H6" s="25" t="s">
        <v>339</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25">
      <c r="A7" s="6" t="s">
        <v>0</v>
      </c>
      <c r="B7" s="6" t="s">
        <v>33</v>
      </c>
      <c r="C7" s="6" t="s">
        <v>288</v>
      </c>
      <c r="D7" s="6" t="s">
        <v>337</v>
      </c>
      <c r="E7" s="70">
        <v>50</v>
      </c>
      <c r="F7" s="6" t="s">
        <v>34</v>
      </c>
      <c r="G7" s="25">
        <v>0.8</v>
      </c>
      <c r="H7" s="25"/>
      <c r="I7" s="26" t="str">
        <f>IF(Table16[[#This Row],[Type]]="Co-product", "No", "")</f>
        <v/>
      </c>
      <c r="J7" s="25"/>
      <c r="K7" s="6"/>
      <c r="L7" s="6">
        <v>25</v>
      </c>
      <c r="M7" s="6" t="s">
        <v>11</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25">
      <c r="A8" s="6" t="s">
        <v>113</v>
      </c>
      <c r="B8" s="6" t="s">
        <v>38</v>
      </c>
      <c r="C8" s="6" t="s">
        <v>288</v>
      </c>
      <c r="D8" s="6" t="s">
        <v>337</v>
      </c>
      <c r="E8" s="71">
        <f>E6*(1-39.3%)</f>
        <v>0.60699999999999998</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Algae</v>
      </c>
      <c r="Q8" s="6" t="str">
        <f>IF(_xlfn.XLOOKUP($P8,'SI - End Use'!$B$2:$B$6,'SI - End Use'!$C$2:$C$6, "")="", "", _xlfn.XLOOKUP($C8,'SI - End Use'!$B$2:$B$6,'SI - End Use'!$C$2:$C$6, ""))</f>
        <v/>
      </c>
      <c r="R8" s="6"/>
      <c r="S8" s="6"/>
      <c r="T8" s="6" t="s">
        <v>340</v>
      </c>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F36A55C7-FCBC-4D0F-B2A8-6A2CC66B7635}">
      <formula1>0</formula1>
      <formula2>1</formula2>
    </dataValidation>
    <dataValidation type="list" allowBlank="1" showInputMessage="1" showErrorMessage="1" sqref="M6:M100" xr:uid="{CCBAC64D-89F0-40C3-A165-81305AE9CFF3}">
      <formula1>payload_units</formula1>
    </dataValidation>
    <dataValidation type="decimal" operator="greaterThan" allowBlank="1" showInputMessage="1" showErrorMessage="1" error="Please type a positive number." sqref="L6:L100" xr:uid="{8D582555-0B1C-4328-935A-A05581502C7E}">
      <formula1>0</formula1>
    </dataValidation>
    <dataValidation type="decimal" operator="greaterThan" allowBlank="1" showInputMessage="1" showErrorMessage="1" error="Please type a positive price." sqref="N6:N100" xr:uid="{050BF04F-E763-4E60-B66D-D36F4365CCE8}">
      <formula1>0</formula1>
    </dataValidation>
    <dataValidation type="decimal" allowBlank="1" showInputMessage="1" showErrorMessage="1" error="Please type a number between 0 and 1." sqref="G6:G100" xr:uid="{3BCB8B60-4CAF-4104-9A75-759C2BD38B11}">
      <formula1>0</formula1>
      <formula2>1</formula2>
    </dataValidation>
    <dataValidation type="custom" allowBlank="1" showInputMessage="1" showErrorMessage="1" sqref="E6:E100" xr:uid="{4A27B794-1870-41ED-90AC-437FFE59BA1D}">
      <formula1>ISNUMBER(E6)</formula1>
    </dataValidation>
    <dataValidation type="list" allowBlank="1" showInputMessage="1" showErrorMessage="1" sqref="C2" xr:uid="{4EF234E7-E03B-4DB7-B279-5CB96D6B9E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F0E76DE-C98D-4808-A2CD-48EC3E4C9AAB}">
          <x14:formula1>
            <xm:f>IF($B6="Transportation",  transport_units, INDIRECT(_xlfn.XLOOKUP($C6, 'SI - Units'!$F$26:$F$36,'SI - Units'!$G$26:$G$36,"mass",0)))</xm:f>
          </x14:formula1>
          <xm:sqref>F6:F100</xm:sqref>
        </x14:dataValidation>
        <x14:dataValidation type="list" allowBlank="1" showInputMessage="1" showErrorMessage="1" xr:uid="{A57C0BED-BA0D-4242-9E03-4B71B5610A38}">
          <x14:formula1>
            <xm:f>INDIRECT("p_"&amp;_xlfn.XLOOKUP($C6,'SI - Units'!$F$26:$F$36,'SI - Units'!$G$26:$G$36,"mass",0))</xm:f>
          </x14:formula1>
          <xm:sqref>O6:O100</xm:sqref>
        </x14:dataValidation>
        <x14:dataValidation type="list" allowBlank="1" showInputMessage="1" showErrorMessage="1" xr:uid="{185CC4B2-EE0B-43D4-9C99-81C22E1C57BC}">
          <x14:formula1>
            <xm:f>INDIRECT(_xlfn.XLOOKUP($P6,'SI - End Use'!$A$11:$A$17,'SI - End Use'!$B$11:$B$17,"other_end_use",0))</xm:f>
          </x14:formula1>
          <xm:sqref>Q6:R100</xm:sqref>
        </x14:dataValidation>
        <x14:dataValidation type="list" allowBlank="1" showInputMessage="1" xr:uid="{2A44F2C1-1926-4AAF-A644-7C5FCBA8E27A}">
          <x14:formula1>
            <xm:f>INDIRECT(_xlfn.XLOOKUP($C6,'SI - End Use'!$A$11:$A$17,'SI - End Use'!$B$11:$B$17,"other_end_use",0))</xm:f>
          </x14:formula1>
          <xm:sqref>D6:D100</xm:sqref>
        </x14:dataValidation>
        <x14:dataValidation type="list" allowBlank="1" showInputMessage="1" showErrorMessage="1" xr:uid="{12A4F9A6-E891-4DF3-AFB2-73A588D070DB}">
          <x14:formula1>
            <xm:f>INDIRECT(_xlfn.XLOOKUP($B6, 'SI - Resources'!$R$1:$R$10,'SI - Resources'!$S$1:$S$10, "placeholder_resource", 0))</xm:f>
          </x14:formula1>
          <xm:sqref>P6:P100 C6:C100</xm:sqref>
        </x14:dataValidation>
        <x14:dataValidation type="list" allowBlank="1" showInputMessage="1" showErrorMessage="1" xr:uid="{D1FD1C4F-8EF5-42C5-BD40-E3D8F0303A78}">
          <x14:formula1>
            <xm:f>'SI - Co-products'!$B$2:$B$6</xm:f>
          </x14:formula1>
          <xm:sqref>A6:A100</xm:sqref>
        </x14:dataValidation>
        <x14:dataValidation type="list" allowBlank="1" showInputMessage="1" showErrorMessage="1" xr:uid="{D48B2355-B1C9-442B-9CAF-B2A935003CBC}">
          <x14:formula1>
            <xm:f>'SI - Resources'!$A$1:$J$1</xm:f>
          </x14:formula1>
          <xm:sqref>B6:B100</xm:sqref>
        </x14:dataValidation>
        <x14:dataValidation type="list" allowBlank="1" showInputMessage="1" showErrorMessage="1" xr:uid="{A501FD5D-4DC5-4FB5-BA0F-91176D96931C}">
          <x14:formula1>
            <xm:f>'SI - Co-products'!$C$2:$C$4</xm:f>
          </x14:formula1>
          <xm:sqref>I6:I100</xm:sqref>
        </x14:dataValidation>
        <x14:dataValidation type="list" allowBlank="1" showInputMessage="1" showErrorMessage="1" xr:uid="{13836734-178F-4442-BC1B-73CD48FDF292}">
          <x14:formula1>
            <xm:f>'SI - Co-products'!$A$2:$A$5</xm:f>
          </x14:formula1>
          <xm:sqref>K6:K100</xm:sqref>
        </x14:dataValidation>
        <x14:dataValidation type="list" allowBlank="1" showInputMessage="1" showErrorMessage="1" xr:uid="{A5991486-A687-471D-96D7-11822D99C740}">
          <x14:formula1>
            <xm:f>_xlfn.XLOOKUP(_xlfn.XLOOKUP(#REF!,'SI - Units'!$B$24:$B$109,'SI - Units'!$C$24:$C$109),'SI - Units'!$A$2:$A$8,'SI - Units'!$B$2:$R$8)</xm:f>
          </x14:formula1>
          <xm:sqref>F5</xm:sqref>
        </x14:dataValidation>
        <x14:dataValidation type="list" allowBlank="1" showInputMessage="1" showErrorMessage="1" xr:uid="{790C669B-8547-472E-BAE1-8368D62FE773}">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6CE12-5399-4C16-9117-097AD56C34FF}">
  <sheetPr codeName="Sheet12"/>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69">
        <v>0.5</v>
      </c>
      <c r="F6" s="6" t="s">
        <v>58</v>
      </c>
      <c r="G6" s="25"/>
      <c r="H6" s="25" t="s">
        <v>339</v>
      </c>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257</v>
      </c>
      <c r="B7" s="6" t="s">
        <v>38</v>
      </c>
      <c r="C7" s="6" t="s">
        <v>288</v>
      </c>
      <c r="D7" s="6" t="s">
        <v>337</v>
      </c>
      <c r="E7" s="69">
        <v>0.5</v>
      </c>
      <c r="F7" s="6" t="s">
        <v>58</v>
      </c>
      <c r="G7" s="25"/>
      <c r="H7" s="25" t="s">
        <v>341</v>
      </c>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t="s">
        <v>342</v>
      </c>
    </row>
    <row r="8" spans="1:20" x14ac:dyDescent="0.25">
      <c r="A8" s="6" t="s">
        <v>0</v>
      </c>
      <c r="B8" s="6" t="s">
        <v>3</v>
      </c>
      <c r="C8" s="6" t="s">
        <v>3</v>
      </c>
      <c r="D8" s="6" t="s">
        <v>10</v>
      </c>
      <c r="E8" s="70">
        <v>1.24885316343198E-2</v>
      </c>
      <c r="F8" s="6" t="s">
        <v>68</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t="s">
        <v>343</v>
      </c>
    </row>
    <row r="9" spans="1:20" x14ac:dyDescent="0.25">
      <c r="A9" s="6" t="s">
        <v>113</v>
      </c>
      <c r="B9" s="6" t="s">
        <v>38</v>
      </c>
      <c r="C9" s="6" t="s">
        <v>288</v>
      </c>
      <c r="D9" s="6" t="s">
        <v>337</v>
      </c>
      <c r="E9" s="69">
        <v>1</v>
      </c>
      <c r="F9" s="6" t="s">
        <v>58</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Algae</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B5F269F-5440-4255-AA55-ED42F0A0D113}">
      <formula1>0</formula1>
      <formula2>1</formula2>
    </dataValidation>
    <dataValidation type="list" allowBlank="1" showInputMessage="1" showErrorMessage="1" sqref="M6:M100" xr:uid="{246F09EA-CCB0-40F1-A49E-07E56E2DA5DA}">
      <formula1>payload_units</formula1>
    </dataValidation>
    <dataValidation type="decimal" operator="greaterThan" allowBlank="1" showInputMessage="1" showErrorMessage="1" error="Please type a positive number." sqref="L6:L100" xr:uid="{15C6A208-E851-4533-BA26-B0C8C5B97A85}">
      <formula1>0</formula1>
    </dataValidation>
    <dataValidation type="decimal" operator="greaterThan" allowBlank="1" showInputMessage="1" showErrorMessage="1" error="Please type a positive price." sqref="N6:N100" xr:uid="{39A2E3EF-A330-4C2D-B80E-BC905B09F35B}">
      <formula1>0</formula1>
    </dataValidation>
    <dataValidation type="decimal" allowBlank="1" showInputMessage="1" showErrorMessage="1" error="Please type a number between 0 and 1." sqref="G6:G100" xr:uid="{980F49AB-0764-4CB9-B6A6-9B185C5F8819}">
      <formula1>0</formula1>
      <formula2>1</formula2>
    </dataValidation>
    <dataValidation type="custom" allowBlank="1" showInputMessage="1" showErrorMessage="1" sqref="E6:E100" xr:uid="{CD7C0F91-23C2-4D9E-A6D6-00D08D45E0A2}">
      <formula1>ISNUMBER(E6)</formula1>
    </dataValidation>
    <dataValidation type="list" allowBlank="1" showInputMessage="1" showErrorMessage="1" sqref="C2" xr:uid="{4551ADBB-D137-4C46-8BDC-BFC30C91CF9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CCD6DEB-E6A7-4DA6-B5B1-17A34131BC81}">
          <x14:formula1>
            <xm:f>IF($B6="Transportation",  transport_units, INDIRECT(_xlfn.XLOOKUP($C6, 'SI - Units'!$F$26:$F$36,'SI - Units'!$G$26:$G$36,"mass",0)))</xm:f>
          </x14:formula1>
          <xm:sqref>F6:F100</xm:sqref>
        </x14:dataValidation>
        <x14:dataValidation type="list" allowBlank="1" showInputMessage="1" showErrorMessage="1" xr:uid="{7BDD54E7-3CB3-42BE-AA60-80881EA2A04B}">
          <x14:formula1>
            <xm:f>INDIRECT("p_"&amp;_xlfn.XLOOKUP($C6,'SI - Units'!$F$26:$F$36,'SI - Units'!$G$26:$G$36,"mass",0))</xm:f>
          </x14:formula1>
          <xm:sqref>O6:O100</xm:sqref>
        </x14:dataValidation>
        <x14:dataValidation type="list" allowBlank="1" showInputMessage="1" showErrorMessage="1" xr:uid="{75391CF8-8554-4837-8275-9155A2CE67C4}">
          <x14:formula1>
            <xm:f>INDIRECT(_xlfn.XLOOKUP($P6,'SI - End Use'!$A$11:$A$17,'SI - End Use'!$B$11:$B$17,"other_end_use",0))</xm:f>
          </x14:formula1>
          <xm:sqref>Q6:R100</xm:sqref>
        </x14:dataValidation>
        <x14:dataValidation type="list" allowBlank="1" showInputMessage="1" xr:uid="{F0167A88-FB93-48AE-9BD8-BFB7BE0C5F51}">
          <x14:formula1>
            <xm:f>INDIRECT(_xlfn.XLOOKUP($C6,'SI - End Use'!$A$11:$A$17,'SI - End Use'!$B$11:$B$17,"other_end_use",0))</xm:f>
          </x14:formula1>
          <xm:sqref>D6:D100</xm:sqref>
        </x14:dataValidation>
        <x14:dataValidation type="list" allowBlank="1" showInputMessage="1" showErrorMessage="1" xr:uid="{22005421-9016-4150-91A5-1E520277FCC9}">
          <x14:formula1>
            <xm:f>INDIRECT(_xlfn.XLOOKUP($B6, 'SI - Resources'!$R$1:$R$10,'SI - Resources'!$S$1:$S$10, "placeholder_resource", 0))</xm:f>
          </x14:formula1>
          <xm:sqref>P6:P100 C6:C100</xm:sqref>
        </x14:dataValidation>
        <x14:dataValidation type="list" allowBlank="1" showInputMessage="1" showErrorMessage="1" xr:uid="{499016BE-434F-4167-83B5-31A213F0DEF8}">
          <x14:formula1>
            <xm:f>'SI - Co-products'!$B$2:$B$6</xm:f>
          </x14:formula1>
          <xm:sqref>A6:A100</xm:sqref>
        </x14:dataValidation>
        <x14:dataValidation type="list" allowBlank="1" showInputMessage="1" showErrorMessage="1" xr:uid="{32BDD6A8-0494-46F7-AA69-C83F820443B8}">
          <x14:formula1>
            <xm:f>'SI - Resources'!$A$1:$J$1</xm:f>
          </x14:formula1>
          <xm:sqref>B6:B100</xm:sqref>
        </x14:dataValidation>
        <x14:dataValidation type="list" allowBlank="1" showInputMessage="1" showErrorMessage="1" xr:uid="{41A9A3A8-241D-4763-86ED-03292F2E1895}">
          <x14:formula1>
            <xm:f>'SI - Co-products'!$C$2:$C$4</xm:f>
          </x14:formula1>
          <xm:sqref>I6:I100</xm:sqref>
        </x14:dataValidation>
        <x14:dataValidation type="list" allowBlank="1" showInputMessage="1" showErrorMessage="1" xr:uid="{4A8FF68F-8983-4112-8310-7C52CEFBE7A6}">
          <x14:formula1>
            <xm:f>'SI - Co-products'!$A$2:$A$5</xm:f>
          </x14:formula1>
          <xm:sqref>K6:K100</xm:sqref>
        </x14:dataValidation>
        <x14:dataValidation type="list" allowBlank="1" showInputMessage="1" showErrorMessage="1" xr:uid="{345278D9-31CA-40E2-97D3-50561402C08C}">
          <x14:formula1>
            <xm:f>_xlfn.XLOOKUP(_xlfn.XLOOKUP(#REF!,'SI - Units'!$B$24:$B$109,'SI - Units'!$C$24:$C$109),'SI - Units'!$A$2:$A$8,'SI - Units'!$B$2:$R$8)</xm:f>
          </x14:formula1>
          <xm:sqref>F5</xm:sqref>
        </x14:dataValidation>
        <x14:dataValidation type="list" allowBlank="1" showInputMessage="1" showErrorMessage="1" xr:uid="{1531DB4B-EEB8-481B-8CD5-99FAB54BAAF4}">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0"/>
  <sheetViews>
    <sheetView tabSelected="1" topLeftCell="E1" workbookViewId="0">
      <pane ySplit="5" topLeftCell="A6" activePane="bottomLeft" state="frozen"/>
      <selection activeCell="C19" sqref="C19"/>
      <selection pane="bottomLeft" activeCell="Q19" sqref="Q1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288</v>
      </c>
      <c r="D6" s="6" t="s">
        <v>337</v>
      </c>
      <c r="E6" s="12">
        <v>5236.5668579256999</v>
      </c>
      <c r="F6" s="6" t="s">
        <v>58</v>
      </c>
      <c r="G6" s="25"/>
      <c r="H6" s="25" t="s">
        <v>344</v>
      </c>
      <c r="I6" s="26" t="s">
        <v>337</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37</v>
      </c>
      <c r="C7" s="6" t="s">
        <v>106</v>
      </c>
      <c r="D7" s="6" t="s">
        <v>337</v>
      </c>
      <c r="E7" s="12">
        <f>511.23957641751*0.96</f>
        <v>490.7899933608096</v>
      </c>
      <c r="F7" s="6" t="s">
        <v>58</v>
      </c>
      <c r="G7" s="25"/>
      <c r="H7" s="25"/>
      <c r="I7" s="26" t="s">
        <v>337</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t="s">
        <v>345</v>
      </c>
    </row>
    <row r="8" spans="1:20" x14ac:dyDescent="0.25">
      <c r="A8" s="6" t="s">
        <v>0</v>
      </c>
      <c r="B8" s="6" t="s">
        <v>37</v>
      </c>
      <c r="C8" s="6" t="s">
        <v>314</v>
      </c>
      <c r="D8" s="6" t="s">
        <v>337</v>
      </c>
      <c r="E8" s="12">
        <v>201.65892112686393</v>
      </c>
      <c r="F8" s="6" t="s">
        <v>58</v>
      </c>
      <c r="G8" s="25"/>
      <c r="H8" s="25"/>
      <c r="I8" s="26" t="s">
        <v>337</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37</v>
      </c>
      <c r="C9" s="6" t="s">
        <v>315</v>
      </c>
      <c r="D9" s="6" t="s">
        <v>337</v>
      </c>
      <c r="E9" s="71">
        <v>201.39966720621192</v>
      </c>
      <c r="F9" s="6" t="s">
        <v>58</v>
      </c>
      <c r="G9" s="25"/>
      <c r="H9" s="25"/>
      <c r="I9" s="26" t="s">
        <v>337</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t="s">
        <v>346</v>
      </c>
    </row>
    <row r="10" spans="1:20" x14ac:dyDescent="0.25">
      <c r="A10" s="6" t="s">
        <v>0</v>
      </c>
      <c r="B10" s="6" t="s">
        <v>37</v>
      </c>
      <c r="C10" s="6" t="s">
        <v>291</v>
      </c>
      <c r="D10" s="6" t="s">
        <v>337</v>
      </c>
      <c r="E10" s="71">
        <v>1.8597842431200169</v>
      </c>
      <c r="F10" s="6" t="s">
        <v>58</v>
      </c>
      <c r="G10" s="25"/>
      <c r="H10" s="25"/>
      <c r="I10" s="26" t="s">
        <v>337</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t="s">
        <v>347</v>
      </c>
    </row>
    <row r="11" spans="1:20" x14ac:dyDescent="0.25">
      <c r="A11" s="6" t="s">
        <v>0</v>
      </c>
      <c r="B11" s="6" t="s">
        <v>244</v>
      </c>
      <c r="C11" s="6" t="s">
        <v>24</v>
      </c>
      <c r="D11" s="6" t="s">
        <v>232</v>
      </c>
      <c r="E11" s="12">
        <v>175.88746264028885</v>
      </c>
      <c r="F11" s="6" t="s">
        <v>58</v>
      </c>
      <c r="G11" s="25"/>
      <c r="H11" s="25"/>
      <c r="I11" s="26" t="s">
        <v>337</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t="s">
        <v>0</v>
      </c>
      <c r="B12" s="6" t="s">
        <v>29</v>
      </c>
      <c r="C12" s="6" t="s">
        <v>29</v>
      </c>
      <c r="D12" s="6" t="s">
        <v>337</v>
      </c>
      <c r="E12" s="12">
        <v>12090.334189772017</v>
      </c>
      <c r="F12" s="6" t="s">
        <v>58</v>
      </c>
      <c r="G12" s="25"/>
      <c r="H12" s="25"/>
      <c r="I12" s="26" t="s">
        <v>337</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t="s">
        <v>0</v>
      </c>
      <c r="B13" s="6" t="s">
        <v>3</v>
      </c>
      <c r="C13" s="6" t="s">
        <v>3</v>
      </c>
      <c r="D13" s="6" t="s">
        <v>10</v>
      </c>
      <c r="E13" s="12">
        <v>724.40807047509054</v>
      </c>
      <c r="F13" s="6" t="s">
        <v>68</v>
      </c>
      <c r="G13" s="25"/>
      <c r="H13" s="25"/>
      <c r="I13" s="26" t="s">
        <v>337</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t="s">
        <v>113</v>
      </c>
      <c r="B14" s="6" t="s">
        <v>244</v>
      </c>
      <c r="C14" s="6" t="s">
        <v>71</v>
      </c>
      <c r="D14" s="6" t="s">
        <v>241</v>
      </c>
      <c r="E14" s="12">
        <v>49.176297406328395</v>
      </c>
      <c r="F14" s="6" t="s">
        <v>70</v>
      </c>
      <c r="G14" s="25"/>
      <c r="H14" s="25"/>
      <c r="I14" s="26" t="s">
        <v>337</v>
      </c>
      <c r="J14" s="25"/>
      <c r="K14" s="6"/>
      <c r="L14" s="6" t="str">
        <f>IF(Table111[[#This Row],[Category]]="Transportation", _xlfn.XLOOKUP(Table111[[#This Row],[Resource]], 'SI - Payload'!$A$10:$A$38,'SI - Payload'!$B$10:$B$38,"",0), "")</f>
        <v/>
      </c>
      <c r="M14" s="6" t="str">
        <f>IF(Table111[[#This Row],[Category]]="Transportation", "ton", "")</f>
        <v/>
      </c>
      <c r="N14" s="6"/>
      <c r="O14" s="6"/>
      <c r="P14" s="6" t="s">
        <v>2</v>
      </c>
      <c r="Q14" s="6" t="s">
        <v>83</v>
      </c>
      <c r="R14" s="6"/>
      <c r="S14" s="6"/>
      <c r="T14" s="6"/>
    </row>
    <row r="15" spans="1:20" x14ac:dyDescent="0.25">
      <c r="A15" s="6" t="s">
        <v>85</v>
      </c>
      <c r="B15" s="6" t="s">
        <v>37</v>
      </c>
      <c r="C15" s="6" t="s">
        <v>304</v>
      </c>
      <c r="D15" s="6" t="s">
        <v>337</v>
      </c>
      <c r="E15" s="12">
        <f>2019.29326307739*5.71/100</f>
        <v>115.30164532171896</v>
      </c>
      <c r="F15" s="6" t="s">
        <v>58</v>
      </c>
      <c r="G15" s="25"/>
      <c r="H15" s="25"/>
      <c r="I15" s="26" t="s">
        <v>124</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Nitrogen</v>
      </c>
      <c r="Q15" s="6" t="str">
        <f>IF(_xlfn.XLOOKUP($P15,'SI - End Use'!$B$2:$B$6,'SI - End Use'!$C$2:$C$6, "")="", "", _xlfn.XLOOKUP($C15,'SI - End Use'!$B$2:$B$6,'SI - End Use'!$C$2:$C$6, ""))</f>
        <v/>
      </c>
      <c r="R15" s="6"/>
      <c r="S15" s="6"/>
      <c r="T15" s="6" t="s">
        <v>348</v>
      </c>
    </row>
    <row r="16" spans="1:20" x14ac:dyDescent="0.25">
      <c r="A16" s="6" t="s">
        <v>85</v>
      </c>
      <c r="B16" s="6" t="s">
        <v>37</v>
      </c>
      <c r="C16" s="6" t="s">
        <v>316</v>
      </c>
      <c r="D16" s="6" t="s">
        <v>337</v>
      </c>
      <c r="E16" s="12">
        <f>2019.29326307739*28.92/100</f>
        <v>583.97961168198128</v>
      </c>
      <c r="F16" s="6" t="s">
        <v>58</v>
      </c>
      <c r="G16" s="25"/>
      <c r="H16" s="25"/>
      <c r="I16" s="26" t="s">
        <v>124</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P2O5</v>
      </c>
      <c r="Q16" s="6" t="str">
        <f>IF(_xlfn.XLOOKUP($P16,'SI - End Use'!$B$2:$B$6,'SI - End Use'!$C$2:$C$6, "")="", "", _xlfn.XLOOKUP($C16,'SI - End Use'!$B$2:$B$6,'SI - End Use'!$C$2:$C$6, ""))</f>
        <v/>
      </c>
      <c r="R16" s="6"/>
      <c r="S16" s="6"/>
      <c r="T16" s="6" t="s">
        <v>349</v>
      </c>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AC4A125-06FB-4EE4-A8ED-1DDCCB8983CC}">
      <formula1>0</formula1>
      <formula2>1</formula2>
    </dataValidation>
    <dataValidation type="list" allowBlank="1" showInputMessage="1" showErrorMessage="1" sqref="M6:M100" xr:uid="{B6D86606-454E-489B-9733-450BBF4EC7F8}">
      <formula1>payload_units</formula1>
    </dataValidation>
    <dataValidation type="decimal" operator="greaterThan" allowBlank="1" showInputMessage="1" showErrorMessage="1" error="Please type a positive number." sqref="L6:L100" xr:uid="{4F4AE5BD-162A-4FCB-8A5D-BD59B62EB608}">
      <formula1>0</formula1>
    </dataValidation>
    <dataValidation type="decimal" operator="greaterThan" allowBlank="1" showInputMessage="1" showErrorMessage="1" error="Please type a positive price." sqref="N6:N100" xr:uid="{2A1F0029-7E5C-4CA2-96BB-DE342D588BB6}">
      <formula1>0</formula1>
    </dataValidation>
    <dataValidation type="decimal" allowBlank="1" showInputMessage="1" showErrorMessage="1" error="Please type a number between 0 and 1." sqref="G6:G100" xr:uid="{50A699E5-F124-434F-AC28-73C6D7453FB4}">
      <formula1>0</formula1>
      <formula2>1</formula2>
    </dataValidation>
    <dataValidation type="custom" allowBlank="1" showInputMessage="1" showErrorMessage="1" sqref="E6:E100" xr:uid="{74BA1D61-AC86-46A9-BB62-3909AF621213}">
      <formula1>ISNUMBER(E6)</formula1>
    </dataValidation>
    <dataValidation type="list" allowBlank="1" showInputMessage="1" showErrorMessage="1" sqref="C2" xr:uid="{1489050C-C6F7-45B6-9702-294197C27DA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396706C-4A17-4B38-90A3-3F1CA570A00D}">
          <x14:formula1>
            <xm:f>IF($B6="Transportation",  transport_units, INDIRECT(_xlfn.XLOOKUP($C6, 'SI - Units'!$F$26:$F$36,'SI - Units'!$G$26:$G$36,"mass",0)))</xm:f>
          </x14:formula1>
          <xm:sqref>F6:F100</xm:sqref>
        </x14:dataValidation>
        <x14:dataValidation type="list" allowBlank="1" showInputMessage="1" showErrorMessage="1" xr:uid="{6C547276-0E01-472D-9F22-EF808CB9A061}">
          <x14:formula1>
            <xm:f>INDIRECT("p_"&amp;_xlfn.XLOOKUP($C6,'SI - Units'!$F$26:$F$36,'SI - Units'!$G$26:$G$36,"mass",0))</xm:f>
          </x14:formula1>
          <xm:sqref>O6:O100</xm:sqref>
        </x14:dataValidation>
        <x14:dataValidation type="list" allowBlank="1" showInputMessage="1" showErrorMessage="1" xr:uid="{99E182B9-E293-44EE-9EC2-78CB70F2DF31}">
          <x14:formula1>
            <xm:f>INDIRECT(_xlfn.XLOOKUP($P6,'SI - End Use'!$A$11:$A$17,'SI - End Use'!$B$11:$B$17,"other_end_use",0))</xm:f>
          </x14:formula1>
          <xm:sqref>Q6:R100</xm:sqref>
        </x14:dataValidation>
        <x14:dataValidation type="list" allowBlank="1" showInputMessage="1" xr:uid="{7262E1AE-A4EE-404E-8237-729EF3FF4837}">
          <x14:formula1>
            <xm:f>INDIRECT(_xlfn.XLOOKUP($C6,'SI - End Use'!$A$11:$A$17,'SI - End Use'!$B$11:$B$17,"other_end_use",0))</xm:f>
          </x14:formula1>
          <xm:sqref>D6:D100</xm:sqref>
        </x14:dataValidation>
        <x14:dataValidation type="list" allowBlank="1" showInputMessage="1" showErrorMessage="1" xr:uid="{0CF0B2DB-15D6-4062-BD41-A339EB96F07F}">
          <x14:formula1>
            <xm:f>INDIRECT(_xlfn.XLOOKUP($B6, 'SI - Resources'!$R$1:$R$10,'SI - Resources'!$S$1:$S$10, "placeholder_resource", 0))</xm:f>
          </x14:formula1>
          <xm:sqref>P6:P100 C6:C100</xm:sqref>
        </x14:dataValidation>
        <x14:dataValidation type="list" allowBlank="1" showInputMessage="1" showErrorMessage="1" xr:uid="{861DF244-E6EE-421F-9E3B-A34C4424A86C}">
          <x14:formula1>
            <xm:f>'SI - Co-products'!$B$2:$B$6</xm:f>
          </x14:formula1>
          <xm:sqref>A6:A100</xm:sqref>
        </x14:dataValidation>
        <x14:dataValidation type="list" allowBlank="1" showInputMessage="1" showErrorMessage="1" xr:uid="{593470B6-805F-4780-B4A9-64C1F1569C15}">
          <x14:formula1>
            <xm:f>'SI - Resources'!$A$1:$J$1</xm:f>
          </x14:formula1>
          <xm:sqref>B6:B100</xm:sqref>
        </x14:dataValidation>
        <x14:dataValidation type="list" allowBlank="1" showInputMessage="1" showErrorMessage="1" xr:uid="{C7A6CA72-7C05-4AB2-9F76-FE153FF1F9F4}">
          <x14:formula1>
            <xm:f>'SI - Co-products'!$C$2:$C$4</xm:f>
          </x14:formula1>
          <xm:sqref>I6:I100</xm:sqref>
        </x14:dataValidation>
        <x14:dataValidation type="list" allowBlank="1" showInputMessage="1" showErrorMessage="1" xr:uid="{04C1A633-F6FD-4C48-86CB-D8A205568AA4}">
          <x14:formula1>
            <xm:f>'SI - Co-products'!$A$2:$A$5</xm:f>
          </x14:formula1>
          <xm:sqref>K6:K100</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EDF4FB67-95B1-4B7E-BE8A-E57C32FBB039}">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2022-10-28T20:29:58Z</dcterms:modified>
</cp:coreProperties>
</file>