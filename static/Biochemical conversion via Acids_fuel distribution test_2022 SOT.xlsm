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CE675D8E-2231-499A-AD20-DA84C56D5EDA}" xr6:coauthVersionLast="47" xr6:coauthVersionMax="47" xr10:uidLastSave="{00000000-0000-0000-0000-000000000000}"/>
  <bookViews>
    <workbookView xWindow="-120" yWindow="-120" windowWidth="29040" windowHeight="15840" tabRatio="685" firstSheet="9" activeTab="15"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Fuel distribution" sheetId="38" r:id="rId17"/>
    <sheet name="INL Data" sheetId="2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5" i="37" l="1"/>
  <c r="E35" i="37"/>
  <c r="F35" i="37"/>
  <c r="E23" i="37" l="1"/>
  <c r="E11" i="37"/>
  <c r="B18" i="24" l="1"/>
  <c r="B17" i="24"/>
  <c r="M9" i="38" l="1"/>
  <c r="L9" i="38"/>
  <c r="I9" i="38"/>
  <c r="P100" i="38" l="1"/>
  <c r="Q100" i="38" s="1"/>
  <c r="M100" i="38"/>
  <c r="L100" i="38"/>
  <c r="I100" i="38"/>
  <c r="C100" i="38"/>
  <c r="D100" i="38" s="1"/>
  <c r="P99" i="38"/>
  <c r="Q99" i="38" s="1"/>
  <c r="M99" i="38"/>
  <c r="L99" i="38"/>
  <c r="I99" i="38"/>
  <c r="F99" i="38" a="1"/>
  <c r="F99" i="38" s="1"/>
  <c r="C99" i="38"/>
  <c r="D99" i="38" s="1"/>
  <c r="Q98" i="38"/>
  <c r="P98" i="38"/>
  <c r="M98" i="38"/>
  <c r="L98" i="38"/>
  <c r="I98" i="38"/>
  <c r="D98" i="38"/>
  <c r="C98" i="38"/>
  <c r="F98" i="38" s="1" a="1"/>
  <c r="F98" i="38" s="1"/>
  <c r="P97" i="38"/>
  <c r="Q97" i="38" s="1"/>
  <c r="M97" i="38"/>
  <c r="L97" i="38"/>
  <c r="I97" i="38"/>
  <c r="D97" i="38"/>
  <c r="C97" i="38"/>
  <c r="F97" i="38" s="1" a="1"/>
  <c r="F97" i="38" s="1"/>
  <c r="P96" i="38"/>
  <c r="Q96" i="38" s="1"/>
  <c r="M96" i="38"/>
  <c r="L96" i="38"/>
  <c r="I96" i="38"/>
  <c r="C96" i="38"/>
  <c r="D96" i="38" s="1"/>
  <c r="P95" i="38"/>
  <c r="Q95" i="38" s="1"/>
  <c r="M95" i="38"/>
  <c r="L95" i="38"/>
  <c r="I95" i="38"/>
  <c r="F95" i="38" a="1"/>
  <c r="F95" i="38" s="1"/>
  <c r="C95" i="38"/>
  <c r="D95" i="38" s="1"/>
  <c r="Q94" i="38"/>
  <c r="P94" i="38"/>
  <c r="M94" i="38"/>
  <c r="L94" i="38"/>
  <c r="I94" i="38"/>
  <c r="D94" i="38"/>
  <c r="C94" i="38"/>
  <c r="F94" i="38" s="1" a="1"/>
  <c r="F94" i="38" s="1"/>
  <c r="P93" i="38"/>
  <c r="Q93" i="38" s="1"/>
  <c r="M93" i="38"/>
  <c r="L93" i="38"/>
  <c r="I93" i="38"/>
  <c r="D93" i="38"/>
  <c r="C93" i="38"/>
  <c r="F93" i="38" s="1" a="1"/>
  <c r="F93" i="38" s="1"/>
  <c r="P92" i="38"/>
  <c r="Q92" i="38" s="1"/>
  <c r="M92" i="38"/>
  <c r="L92" i="38"/>
  <c r="I92" i="38"/>
  <c r="C92" i="38"/>
  <c r="D92" i="38" s="1"/>
  <c r="P91" i="38"/>
  <c r="Q91" i="38" s="1"/>
  <c r="M91" i="38"/>
  <c r="L91" i="38"/>
  <c r="I91" i="38"/>
  <c r="F91" i="38" a="1"/>
  <c r="F91" i="38" s="1"/>
  <c r="C91" i="38"/>
  <c r="D91" i="38" s="1"/>
  <c r="Q90" i="38"/>
  <c r="P90" i="38"/>
  <c r="M90" i="38"/>
  <c r="L90" i="38"/>
  <c r="I90" i="38"/>
  <c r="D90" i="38"/>
  <c r="C90" i="38"/>
  <c r="F90" i="38" s="1" a="1"/>
  <c r="F90" i="38" s="1"/>
  <c r="Q89" i="38"/>
  <c r="P89" i="38"/>
  <c r="M89" i="38"/>
  <c r="L89" i="38"/>
  <c r="I89" i="38"/>
  <c r="C89" i="38"/>
  <c r="F89" i="38" s="1" a="1"/>
  <c r="F89" i="38" s="1"/>
  <c r="P88" i="38"/>
  <c r="Q88" i="38" s="1"/>
  <c r="M88" i="38"/>
  <c r="L88" i="38"/>
  <c r="I88" i="38"/>
  <c r="F88" i="38" a="1"/>
  <c r="F88" i="38" s="1"/>
  <c r="C88" i="38"/>
  <c r="D88" i="38" s="1"/>
  <c r="P87" i="38"/>
  <c r="Q87" i="38" s="1"/>
  <c r="M87" i="38"/>
  <c r="L87" i="38"/>
  <c r="I87" i="38"/>
  <c r="D87" i="38"/>
  <c r="C87" i="38"/>
  <c r="F87" i="38" s="1" a="1"/>
  <c r="F87" i="38" s="1"/>
  <c r="P86" i="38"/>
  <c r="Q86" i="38" s="1"/>
  <c r="M86" i="38"/>
  <c r="L86" i="38"/>
  <c r="I86" i="38"/>
  <c r="C86" i="38"/>
  <c r="F86" i="38" s="1" a="1"/>
  <c r="F86" i="38" s="1"/>
  <c r="P85" i="38"/>
  <c r="Q85" i="38" s="1"/>
  <c r="M85" i="38"/>
  <c r="L85" i="38"/>
  <c r="I85" i="38"/>
  <c r="D85" i="38"/>
  <c r="C85" i="38"/>
  <c r="F85" i="38" s="1" a="1"/>
  <c r="F85" i="38" s="1"/>
  <c r="P84" i="38"/>
  <c r="Q84" i="38" s="1"/>
  <c r="M84" i="38"/>
  <c r="L84" i="38"/>
  <c r="I84" i="38"/>
  <c r="C84" i="38"/>
  <c r="D84" i="38" s="1"/>
  <c r="P83" i="38"/>
  <c r="Q83" i="38" s="1"/>
  <c r="M83" i="38"/>
  <c r="L83" i="38"/>
  <c r="I83" i="38"/>
  <c r="F83" i="38" a="1"/>
  <c r="F83" i="38" s="1"/>
  <c r="C83" i="38"/>
  <c r="D83" i="38" s="1"/>
  <c r="Q82" i="38"/>
  <c r="P82" i="38"/>
  <c r="M82" i="38"/>
  <c r="L82" i="38"/>
  <c r="I82" i="38"/>
  <c r="D82" i="38"/>
  <c r="C82" i="38"/>
  <c r="F82" i="38" s="1" a="1"/>
  <c r="F82" i="38" s="1"/>
  <c r="Q81" i="38"/>
  <c r="P81" i="38"/>
  <c r="M81" i="38"/>
  <c r="L81" i="38"/>
  <c r="I81" i="38"/>
  <c r="C81" i="38"/>
  <c r="F81" i="38" s="1" a="1"/>
  <c r="F81" i="38" s="1"/>
  <c r="P80" i="38"/>
  <c r="Q80" i="38" s="1"/>
  <c r="M80" i="38"/>
  <c r="L80" i="38"/>
  <c r="I80" i="38"/>
  <c r="F80" i="38" a="1"/>
  <c r="F80" i="38" s="1"/>
  <c r="C80" i="38"/>
  <c r="D80" i="38" s="1"/>
  <c r="P79" i="38"/>
  <c r="Q79" i="38" s="1"/>
  <c r="M79" i="38"/>
  <c r="L79" i="38"/>
  <c r="I79" i="38"/>
  <c r="D79" i="38"/>
  <c r="C79" i="38"/>
  <c r="F79" i="38" s="1" a="1"/>
  <c r="F79" i="38" s="1"/>
  <c r="P78" i="38"/>
  <c r="Q78" i="38" s="1"/>
  <c r="M78" i="38"/>
  <c r="L78" i="38"/>
  <c r="I78" i="38"/>
  <c r="C78" i="38"/>
  <c r="F78" i="38" s="1" a="1"/>
  <c r="F78" i="38" s="1"/>
  <c r="P77" i="38"/>
  <c r="Q77" i="38" s="1"/>
  <c r="M77" i="38"/>
  <c r="L77" i="38"/>
  <c r="I77" i="38"/>
  <c r="D77" i="38"/>
  <c r="C77" i="38"/>
  <c r="F77" i="38" s="1" a="1"/>
  <c r="F77" i="38" s="1"/>
  <c r="P76" i="38"/>
  <c r="Q76" i="38" s="1"/>
  <c r="M76" i="38"/>
  <c r="L76" i="38"/>
  <c r="I76" i="38"/>
  <c r="C76" i="38"/>
  <c r="D76" i="38" s="1"/>
  <c r="P75" i="38"/>
  <c r="Q75" i="38" s="1"/>
  <c r="M75" i="38"/>
  <c r="L75" i="38"/>
  <c r="I75" i="38"/>
  <c r="F75" i="38" a="1"/>
  <c r="F75" i="38" s="1"/>
  <c r="C75" i="38"/>
  <c r="D75" i="38" s="1"/>
  <c r="Q74" i="38"/>
  <c r="P74" i="38"/>
  <c r="M74" i="38"/>
  <c r="L74" i="38"/>
  <c r="I74" i="38"/>
  <c r="D74" i="38"/>
  <c r="C74" i="38"/>
  <c r="F74" i="38" s="1" a="1"/>
  <c r="F74" i="38" s="1"/>
  <c r="Q73" i="38"/>
  <c r="P73" i="38"/>
  <c r="M73" i="38"/>
  <c r="L73" i="38"/>
  <c r="I73" i="38"/>
  <c r="C73" i="38"/>
  <c r="F73" i="38" s="1" a="1"/>
  <c r="F73" i="38" s="1"/>
  <c r="P72" i="38"/>
  <c r="Q72" i="38" s="1"/>
  <c r="M72" i="38"/>
  <c r="L72" i="38"/>
  <c r="I72" i="38"/>
  <c r="F72" i="38" a="1"/>
  <c r="F72" i="38" s="1"/>
  <c r="C72" i="38"/>
  <c r="D72" i="38" s="1"/>
  <c r="P71" i="38"/>
  <c r="Q71" i="38" s="1"/>
  <c r="M71" i="38"/>
  <c r="L71" i="38"/>
  <c r="I71" i="38"/>
  <c r="F71" i="38" a="1"/>
  <c r="F71" i="38" s="1"/>
  <c r="D71" i="38"/>
  <c r="C71" i="38"/>
  <c r="P70" i="38"/>
  <c r="Q70" i="38" s="1"/>
  <c r="M70" i="38"/>
  <c r="L70" i="38"/>
  <c r="I70" i="38"/>
  <c r="C70" i="38"/>
  <c r="F70" i="38" s="1" a="1"/>
  <c r="F70" i="38" s="1"/>
  <c r="P69" i="38"/>
  <c r="Q69" i="38" s="1"/>
  <c r="M69" i="38"/>
  <c r="L69" i="38"/>
  <c r="I69" i="38"/>
  <c r="C69" i="38"/>
  <c r="F69" i="38" s="1" a="1"/>
  <c r="F69" i="38" s="1"/>
  <c r="P68" i="38"/>
  <c r="Q68" i="38" s="1"/>
  <c r="M68" i="38"/>
  <c r="L68" i="38"/>
  <c r="I68" i="38"/>
  <c r="F68" i="38" a="1"/>
  <c r="F68" i="38" s="1"/>
  <c r="D68" i="38"/>
  <c r="C68" i="38"/>
  <c r="P67" i="38"/>
  <c r="Q67" i="38" s="1"/>
  <c r="M67" i="38"/>
  <c r="L67" i="38"/>
  <c r="I67" i="38"/>
  <c r="F67" i="38"/>
  <c r="F67" i="38" a="1"/>
  <c r="D67" i="38"/>
  <c r="C67" i="38"/>
  <c r="P66" i="38"/>
  <c r="Q66" i="38" s="1"/>
  <c r="M66" i="38"/>
  <c r="L66" i="38"/>
  <c r="I66" i="38"/>
  <c r="C66" i="38"/>
  <c r="F66" i="38" s="1" a="1"/>
  <c r="F66" i="38" s="1"/>
  <c r="P65" i="38"/>
  <c r="Q65" i="38" s="1"/>
  <c r="M65" i="38"/>
  <c r="L65" i="38"/>
  <c r="I65" i="38"/>
  <c r="D65" i="38"/>
  <c r="C65" i="38"/>
  <c r="F65" i="38" s="1" a="1"/>
  <c r="F65" i="38" s="1"/>
  <c r="P64" i="38"/>
  <c r="Q64" i="38" s="1"/>
  <c r="M64" i="38"/>
  <c r="L64" i="38"/>
  <c r="I64" i="38"/>
  <c r="C64" i="38"/>
  <c r="F64" i="38" s="1" a="1"/>
  <c r="F64" i="38" s="1"/>
  <c r="P63" i="38"/>
  <c r="Q63" i="38" s="1"/>
  <c r="M63" i="38"/>
  <c r="L63" i="38"/>
  <c r="I63" i="38"/>
  <c r="F63" i="38" a="1"/>
  <c r="F63" i="38" s="1"/>
  <c r="C63" i="38"/>
  <c r="D63" i="38" s="1"/>
  <c r="Q62" i="38"/>
  <c r="P62" i="38"/>
  <c r="M62" i="38"/>
  <c r="L62" i="38"/>
  <c r="I62" i="38"/>
  <c r="D62" i="38"/>
  <c r="C62" i="38"/>
  <c r="F62" i="38" s="1" a="1"/>
  <c r="F62" i="38" s="1"/>
  <c r="P61" i="38"/>
  <c r="Q61" i="38" s="1"/>
  <c r="M61" i="38"/>
  <c r="L61" i="38"/>
  <c r="I61" i="38"/>
  <c r="C61" i="38"/>
  <c r="F61" i="38" s="1" a="1"/>
  <c r="F61" i="38" s="1"/>
  <c r="P60" i="38"/>
  <c r="Q60" i="38" s="1"/>
  <c r="M60" i="38"/>
  <c r="L60" i="38"/>
  <c r="I60" i="38"/>
  <c r="F60" i="38" a="1"/>
  <c r="F60" i="38" s="1"/>
  <c r="C60" i="38"/>
  <c r="D60" i="38" s="1"/>
  <c r="P59" i="38"/>
  <c r="Q59" i="38" s="1"/>
  <c r="M59" i="38"/>
  <c r="L59" i="38"/>
  <c r="I59" i="38"/>
  <c r="F59" i="38" a="1"/>
  <c r="F59" i="38" s="1"/>
  <c r="D59" i="38"/>
  <c r="C59" i="38"/>
  <c r="P58" i="38"/>
  <c r="Q58" i="38" s="1"/>
  <c r="M58" i="38"/>
  <c r="L58" i="38"/>
  <c r="I58" i="38"/>
  <c r="C58" i="38"/>
  <c r="F58" i="38" s="1" a="1"/>
  <c r="F58" i="38" s="1"/>
  <c r="P57" i="38"/>
  <c r="Q57" i="38" s="1"/>
  <c r="M57" i="38"/>
  <c r="L57" i="38"/>
  <c r="I57" i="38"/>
  <c r="D57" i="38"/>
  <c r="C57" i="38"/>
  <c r="F57" i="38" s="1" a="1"/>
  <c r="F57" i="38" s="1"/>
  <c r="P56" i="38"/>
  <c r="Q56" i="38" s="1"/>
  <c r="M56" i="38"/>
  <c r="L56" i="38"/>
  <c r="I56" i="38"/>
  <c r="C56" i="38"/>
  <c r="F56" i="38" s="1" a="1"/>
  <c r="F56" i="38" s="1"/>
  <c r="P55" i="38"/>
  <c r="Q55" i="38" s="1"/>
  <c r="M55" i="38"/>
  <c r="L55" i="38"/>
  <c r="I55" i="38"/>
  <c r="F55" i="38" a="1"/>
  <c r="F55" i="38" s="1"/>
  <c r="C55" i="38"/>
  <c r="D55" i="38" s="1"/>
  <c r="Q54" i="38"/>
  <c r="P54" i="38"/>
  <c r="M54" i="38"/>
  <c r="L54" i="38"/>
  <c r="I54" i="38"/>
  <c r="D54" i="38"/>
  <c r="C54" i="38"/>
  <c r="F54" i="38" s="1" a="1"/>
  <c r="F54" i="38" s="1"/>
  <c r="P53" i="38"/>
  <c r="Q53" i="38" s="1"/>
  <c r="M53" i="38"/>
  <c r="L53" i="38"/>
  <c r="I53" i="38"/>
  <c r="C53" i="38"/>
  <c r="F53" i="38" s="1" a="1"/>
  <c r="F53" i="38" s="1"/>
  <c r="P52" i="38"/>
  <c r="Q52" i="38" s="1"/>
  <c r="M52" i="38"/>
  <c r="L52" i="38"/>
  <c r="I52" i="38"/>
  <c r="F52" i="38" a="1"/>
  <c r="F52" i="38" s="1"/>
  <c r="C52" i="38"/>
  <c r="D52" i="38" s="1"/>
  <c r="P51" i="38"/>
  <c r="Q51" i="38" s="1"/>
  <c r="M51" i="38"/>
  <c r="L51" i="38"/>
  <c r="I51" i="38"/>
  <c r="F51" i="38" a="1"/>
  <c r="F51" i="38" s="1"/>
  <c r="D51" i="38"/>
  <c r="C51" i="38"/>
  <c r="P50" i="38"/>
  <c r="Q50" i="38" s="1"/>
  <c r="M50" i="38"/>
  <c r="L50" i="38"/>
  <c r="I50" i="38"/>
  <c r="C50" i="38"/>
  <c r="F50" i="38" s="1" a="1"/>
  <c r="F50" i="38" s="1"/>
  <c r="P49" i="38"/>
  <c r="Q49" i="38" s="1"/>
  <c r="M49" i="38"/>
  <c r="L49" i="38"/>
  <c r="I49" i="38"/>
  <c r="D49" i="38"/>
  <c r="C49" i="38"/>
  <c r="F49" i="38" s="1" a="1"/>
  <c r="F49" i="38" s="1"/>
  <c r="P48" i="38"/>
  <c r="Q48" i="38" s="1"/>
  <c r="M48" i="38"/>
  <c r="L48" i="38"/>
  <c r="I48" i="38"/>
  <c r="C48" i="38"/>
  <c r="F48" i="38" s="1" a="1"/>
  <c r="F48" i="38" s="1"/>
  <c r="P47" i="38"/>
  <c r="Q47" i="38" s="1"/>
  <c r="M47" i="38"/>
  <c r="L47" i="38"/>
  <c r="I47" i="38"/>
  <c r="F47" i="38" a="1"/>
  <c r="F47" i="38" s="1"/>
  <c r="C47" i="38"/>
  <c r="D47" i="38" s="1"/>
  <c r="Q46" i="38"/>
  <c r="P46" i="38"/>
  <c r="M46" i="38"/>
  <c r="L46" i="38"/>
  <c r="I46" i="38"/>
  <c r="D46" i="38"/>
  <c r="C46" i="38"/>
  <c r="F46" i="38" s="1" a="1"/>
  <c r="F46" i="38" s="1"/>
  <c r="P45" i="38"/>
  <c r="Q45" i="38" s="1"/>
  <c r="M45" i="38"/>
  <c r="L45" i="38"/>
  <c r="I45" i="38"/>
  <c r="C45" i="38"/>
  <c r="F45" i="38" s="1" a="1"/>
  <c r="F45" i="38" s="1"/>
  <c r="P44" i="38"/>
  <c r="Q44" i="38" s="1"/>
  <c r="M44" i="38"/>
  <c r="L44" i="38"/>
  <c r="I44" i="38"/>
  <c r="F44" i="38" a="1"/>
  <c r="F44" i="38" s="1"/>
  <c r="C44" i="38"/>
  <c r="D44" i="38" s="1"/>
  <c r="P43" i="38"/>
  <c r="Q43" i="38" s="1"/>
  <c r="M43" i="38"/>
  <c r="L43" i="38"/>
  <c r="I43" i="38"/>
  <c r="F43" i="38" a="1"/>
  <c r="F43" i="38" s="1"/>
  <c r="D43" i="38"/>
  <c r="C43" i="38"/>
  <c r="P42" i="38"/>
  <c r="Q42" i="38" s="1"/>
  <c r="M42" i="38"/>
  <c r="L42" i="38"/>
  <c r="I42" i="38"/>
  <c r="C42" i="38"/>
  <c r="F42" i="38" s="1" a="1"/>
  <c r="F42" i="38" s="1"/>
  <c r="P41" i="38"/>
  <c r="Q41" i="38" s="1"/>
  <c r="M41" i="38"/>
  <c r="L41" i="38"/>
  <c r="I41" i="38"/>
  <c r="D41" i="38"/>
  <c r="C41" i="38"/>
  <c r="F41" i="38" s="1" a="1"/>
  <c r="F41" i="38" s="1"/>
  <c r="P40" i="38"/>
  <c r="Q40" i="38" s="1"/>
  <c r="M40" i="38"/>
  <c r="L40" i="38"/>
  <c r="I40" i="38"/>
  <c r="C40" i="38"/>
  <c r="F40" i="38" s="1" a="1"/>
  <c r="F40" i="38" s="1"/>
  <c r="P39" i="38"/>
  <c r="Q39" i="38" s="1"/>
  <c r="M39" i="38"/>
  <c r="L39" i="38"/>
  <c r="I39" i="38"/>
  <c r="F39" i="38" a="1"/>
  <c r="F39" i="38" s="1"/>
  <c r="C39" i="38"/>
  <c r="D39" i="38" s="1"/>
  <c r="P38" i="38"/>
  <c r="Q38" i="38" s="1"/>
  <c r="M38" i="38"/>
  <c r="L38" i="38"/>
  <c r="I38" i="38"/>
  <c r="D38" i="38"/>
  <c r="C38" i="38"/>
  <c r="F38" i="38" s="1" a="1"/>
  <c r="F38" i="38" s="1"/>
  <c r="P37" i="38"/>
  <c r="Q37" i="38" s="1"/>
  <c r="M37" i="38"/>
  <c r="L37" i="38"/>
  <c r="I37" i="38"/>
  <c r="C37" i="38"/>
  <c r="F37" i="38" s="1" a="1"/>
  <c r="F37" i="38" s="1"/>
  <c r="P36" i="38"/>
  <c r="Q36" i="38" s="1"/>
  <c r="M36" i="38"/>
  <c r="L36" i="38"/>
  <c r="I36" i="38"/>
  <c r="F36" i="38" a="1"/>
  <c r="F36" i="38" s="1"/>
  <c r="C36" i="38"/>
  <c r="D36" i="38" s="1"/>
  <c r="P35" i="38"/>
  <c r="Q35" i="38" s="1"/>
  <c r="M35" i="38"/>
  <c r="L35" i="38"/>
  <c r="I35" i="38"/>
  <c r="F35" i="38" a="1"/>
  <c r="F35" i="38" s="1"/>
  <c r="D35" i="38"/>
  <c r="C35" i="38"/>
  <c r="P34" i="38"/>
  <c r="Q34" i="38" s="1"/>
  <c r="M34" i="38"/>
  <c r="L34" i="38"/>
  <c r="I34" i="38"/>
  <c r="C34" i="38"/>
  <c r="F34" i="38" s="1" a="1"/>
  <c r="F34" i="38" s="1"/>
  <c r="P33" i="38"/>
  <c r="Q33" i="38" s="1"/>
  <c r="M33" i="38"/>
  <c r="L33" i="38"/>
  <c r="I33" i="38"/>
  <c r="C33" i="38"/>
  <c r="F33" i="38" s="1" a="1"/>
  <c r="F33" i="38" s="1"/>
  <c r="P32" i="38"/>
  <c r="Q32" i="38" s="1"/>
  <c r="M32" i="38"/>
  <c r="L32" i="38"/>
  <c r="I32" i="38"/>
  <c r="C32" i="38"/>
  <c r="F32" i="38" s="1" a="1"/>
  <c r="F32" i="38" s="1"/>
  <c r="P31" i="38"/>
  <c r="Q31" i="38" s="1"/>
  <c r="M31" i="38"/>
  <c r="L31" i="38"/>
  <c r="I31" i="38"/>
  <c r="F31" i="38" a="1"/>
  <c r="F31" i="38" s="1"/>
  <c r="C31" i="38"/>
  <c r="D31" i="38" s="1"/>
  <c r="P30" i="38"/>
  <c r="Q30" i="38" s="1"/>
  <c r="M30" i="38"/>
  <c r="L30" i="38"/>
  <c r="I30" i="38"/>
  <c r="D30" i="38"/>
  <c r="C30" i="38"/>
  <c r="F30" i="38" s="1" a="1"/>
  <c r="F30" i="38" s="1"/>
  <c r="P29" i="38"/>
  <c r="Q29" i="38" s="1"/>
  <c r="M29" i="38"/>
  <c r="L29" i="38"/>
  <c r="I29" i="38"/>
  <c r="C29" i="38"/>
  <c r="F29" i="38" s="1" a="1"/>
  <c r="F29" i="38" s="1"/>
  <c r="P28" i="38"/>
  <c r="Q28" i="38" s="1"/>
  <c r="M28" i="38"/>
  <c r="L28" i="38"/>
  <c r="I28" i="38"/>
  <c r="F28" i="38" a="1"/>
  <c r="F28" i="38" s="1"/>
  <c r="C28" i="38"/>
  <c r="D28" i="38" s="1"/>
  <c r="P27" i="38"/>
  <c r="Q27" i="38" s="1"/>
  <c r="M27" i="38"/>
  <c r="L27" i="38"/>
  <c r="I27" i="38"/>
  <c r="F27" i="38" a="1"/>
  <c r="F27" i="38" s="1"/>
  <c r="D27" i="38"/>
  <c r="C27" i="38"/>
  <c r="P26" i="38"/>
  <c r="Q26" i="38" s="1"/>
  <c r="M26" i="38"/>
  <c r="L26" i="38"/>
  <c r="I26" i="38"/>
  <c r="C26" i="38"/>
  <c r="F26" i="38" s="1" a="1"/>
  <c r="F26" i="38" s="1"/>
  <c r="P25" i="38"/>
  <c r="Q25" i="38" s="1"/>
  <c r="M25" i="38"/>
  <c r="L25" i="38"/>
  <c r="I25" i="38"/>
  <c r="C25" i="38"/>
  <c r="F25" i="38" s="1" a="1"/>
  <c r="F25" i="38" s="1"/>
  <c r="P24" i="38"/>
  <c r="Q24" i="38" s="1"/>
  <c r="M24" i="38"/>
  <c r="L24" i="38"/>
  <c r="I24" i="38"/>
  <c r="C24" i="38"/>
  <c r="F24" i="38" s="1" a="1"/>
  <c r="F24" i="38" s="1"/>
  <c r="P23" i="38"/>
  <c r="Q23" i="38" s="1"/>
  <c r="M23" i="38"/>
  <c r="L23" i="38"/>
  <c r="I23" i="38"/>
  <c r="F23" i="38" a="1"/>
  <c r="F23" i="38" s="1"/>
  <c r="D23" i="38"/>
  <c r="C23" i="38"/>
  <c r="P22" i="38"/>
  <c r="Q22" i="38" s="1"/>
  <c r="M22" i="38"/>
  <c r="L22" i="38"/>
  <c r="I22" i="38"/>
  <c r="D22" i="38"/>
  <c r="C22" i="38"/>
  <c r="F22" i="38" s="1" a="1"/>
  <c r="F22" i="38" s="1"/>
  <c r="P21" i="38"/>
  <c r="Q21" i="38" s="1"/>
  <c r="M21" i="38"/>
  <c r="L21" i="38"/>
  <c r="I21" i="38"/>
  <c r="C21" i="38"/>
  <c r="F21" i="38" s="1" a="1"/>
  <c r="F21" i="38" s="1"/>
  <c r="P20" i="38"/>
  <c r="Q20" i="38" s="1"/>
  <c r="M20" i="38"/>
  <c r="L20" i="38"/>
  <c r="I20" i="38"/>
  <c r="F20" i="38" a="1"/>
  <c r="F20" i="38" s="1"/>
  <c r="C20" i="38"/>
  <c r="D20" i="38" s="1"/>
  <c r="P19" i="38"/>
  <c r="Q19" i="38" s="1"/>
  <c r="M19" i="38"/>
  <c r="L19" i="38"/>
  <c r="I19" i="38"/>
  <c r="F19" i="38" a="1"/>
  <c r="F19" i="38" s="1"/>
  <c r="D19" i="38"/>
  <c r="C19" i="38"/>
  <c r="P18" i="38"/>
  <c r="Q18" i="38" s="1"/>
  <c r="M18" i="38"/>
  <c r="L18" i="38"/>
  <c r="I18" i="38"/>
  <c r="C18" i="38"/>
  <c r="F18" i="38" s="1" a="1"/>
  <c r="F18" i="38" s="1"/>
  <c r="P17" i="38"/>
  <c r="Q17" i="38" s="1"/>
  <c r="M17" i="38"/>
  <c r="L17" i="38"/>
  <c r="I17" i="38"/>
  <c r="C17" i="38"/>
  <c r="F17" i="38" s="1" a="1"/>
  <c r="F17" i="38" s="1"/>
  <c r="P16" i="38"/>
  <c r="Q16" i="38" s="1"/>
  <c r="M16" i="38"/>
  <c r="L16" i="38"/>
  <c r="I16" i="38"/>
  <c r="C16" i="38"/>
  <c r="F16" i="38" s="1" a="1"/>
  <c r="F16" i="38" s="1"/>
  <c r="P15" i="38"/>
  <c r="Q15" i="38" s="1"/>
  <c r="M15" i="38"/>
  <c r="L15" i="38"/>
  <c r="I15" i="38"/>
  <c r="F15" i="38" a="1"/>
  <c r="F15" i="38" s="1"/>
  <c r="D15" i="38"/>
  <c r="C15" i="38"/>
  <c r="P14" i="38"/>
  <c r="Q14" i="38" s="1"/>
  <c r="M14" i="38"/>
  <c r="L14" i="38"/>
  <c r="I14" i="38"/>
  <c r="D14" i="38"/>
  <c r="C14" i="38"/>
  <c r="F14" i="38" s="1" a="1"/>
  <c r="F14" i="38" s="1"/>
  <c r="P13" i="38"/>
  <c r="Q13" i="38" s="1"/>
  <c r="M13" i="38"/>
  <c r="L13" i="38"/>
  <c r="I13" i="38"/>
  <c r="C13" i="38"/>
  <c r="F13" i="38" s="1" a="1"/>
  <c r="F13" i="38" s="1"/>
  <c r="P12" i="38"/>
  <c r="Q12" i="38" s="1"/>
  <c r="M12" i="38"/>
  <c r="L12" i="38"/>
  <c r="I12" i="38"/>
  <c r="F12" i="38" a="1"/>
  <c r="F12" i="38" s="1"/>
  <c r="C12" i="38"/>
  <c r="D12" i="38" s="1"/>
  <c r="P11" i="38"/>
  <c r="Q11" i="38" s="1"/>
  <c r="M11" i="38"/>
  <c r="L11" i="38"/>
  <c r="I11" i="38"/>
  <c r="F11" i="38" a="1"/>
  <c r="F11" i="38" s="1"/>
  <c r="D11" i="38"/>
  <c r="C11" i="38"/>
  <c r="P10" i="38"/>
  <c r="Q10" i="38" s="1"/>
  <c r="M10" i="38"/>
  <c r="L10" i="38"/>
  <c r="I10" i="38"/>
  <c r="C10" i="38"/>
  <c r="F10" i="38" s="1" a="1"/>
  <c r="F10" i="38" s="1"/>
  <c r="M8" i="38"/>
  <c r="I8" i="38"/>
  <c r="P7" i="38"/>
  <c r="Q7" i="38" s="1"/>
  <c r="M7" i="38"/>
  <c r="L7" i="38"/>
  <c r="I7" i="38"/>
  <c r="D7" i="38"/>
  <c r="Q6" i="38"/>
  <c r="P6" i="38"/>
  <c r="M6" i="38"/>
  <c r="L6" i="38"/>
  <c r="I6" i="38"/>
  <c r="D6" i="38"/>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1" i="37"/>
  <c r="Q101" i="37" s="1"/>
  <c r="M101" i="37"/>
  <c r="L101" i="37"/>
  <c r="I101" i="37"/>
  <c r="C101" i="37"/>
  <c r="F101" i="37" s="1" a="1"/>
  <c r="F101" i="37" s="1"/>
  <c r="P100" i="37"/>
  <c r="Q100" i="37" s="1"/>
  <c r="M100" i="37"/>
  <c r="L100" i="37"/>
  <c r="I100" i="37"/>
  <c r="C100" i="37"/>
  <c r="D100" i="37" s="1"/>
  <c r="P99" i="37"/>
  <c r="Q99" i="37" s="1"/>
  <c r="M99" i="37"/>
  <c r="L99" i="37"/>
  <c r="I99" i="37"/>
  <c r="C99" i="37"/>
  <c r="D99" i="37" s="1"/>
  <c r="P98" i="37"/>
  <c r="Q98" i="37" s="1"/>
  <c r="M98" i="37"/>
  <c r="L98" i="37"/>
  <c r="I98" i="37"/>
  <c r="C98" i="37"/>
  <c r="D98" i="37" s="1"/>
  <c r="P97" i="37"/>
  <c r="Q97" i="37" s="1"/>
  <c r="M97" i="37"/>
  <c r="L97" i="37"/>
  <c r="I97" i="37"/>
  <c r="C97" i="37"/>
  <c r="F97" i="37" s="1" a="1"/>
  <c r="F97" i="37" s="1"/>
  <c r="Q96" i="37"/>
  <c r="P96" i="37"/>
  <c r="M96" i="37"/>
  <c r="L96" i="37"/>
  <c r="I96" i="37"/>
  <c r="C96" i="37"/>
  <c r="F96" i="37" s="1" a="1"/>
  <c r="F96" i="37" s="1"/>
  <c r="P95" i="37"/>
  <c r="Q95" i="37" s="1"/>
  <c r="M95" i="37"/>
  <c r="L95" i="37"/>
  <c r="I95" i="37"/>
  <c r="F95" i="37" a="1"/>
  <c r="F95" i="37" s="1"/>
  <c r="C95" i="37"/>
  <c r="D95" i="37" s="1"/>
  <c r="P94" i="37"/>
  <c r="Q94" i="37" s="1"/>
  <c r="M94" i="37"/>
  <c r="L94" i="37"/>
  <c r="I94" i="37"/>
  <c r="C94" i="37"/>
  <c r="F94" i="37" s="1" a="1"/>
  <c r="F94" i="37" s="1"/>
  <c r="P93" i="37"/>
  <c r="Q93" i="37" s="1"/>
  <c r="M93" i="37"/>
  <c r="L93" i="37"/>
  <c r="I93" i="37"/>
  <c r="D93" i="37"/>
  <c r="C93" i="37"/>
  <c r="F93" i="37" s="1" a="1"/>
  <c r="F93" i="37" s="1"/>
  <c r="P92" i="37"/>
  <c r="Q92" i="37" s="1"/>
  <c r="M92" i="37"/>
  <c r="L92" i="37"/>
  <c r="I92" i="37"/>
  <c r="C92" i="37"/>
  <c r="D92" i="37" s="1"/>
  <c r="P91" i="37"/>
  <c r="Q91" i="37" s="1"/>
  <c r="M91" i="37"/>
  <c r="L91" i="37"/>
  <c r="I91" i="37"/>
  <c r="D91" i="37"/>
  <c r="C91" i="37"/>
  <c r="F91" i="37" s="1" a="1"/>
  <c r="F91" i="37" s="1"/>
  <c r="P90" i="37"/>
  <c r="Q90" i="37" s="1"/>
  <c r="M90" i="37"/>
  <c r="L90" i="37"/>
  <c r="I90" i="37"/>
  <c r="C90" i="37"/>
  <c r="D90" i="37" s="1"/>
  <c r="Q89" i="37"/>
  <c r="P89" i="37"/>
  <c r="M89" i="37"/>
  <c r="L89" i="37"/>
  <c r="I89" i="37"/>
  <c r="C89" i="37"/>
  <c r="F89" i="37" s="1" a="1"/>
  <c r="F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D84" i="37" s="1"/>
  <c r="P83" i="37"/>
  <c r="Q83" i="37" s="1"/>
  <c r="M83" i="37"/>
  <c r="L83" i="37"/>
  <c r="I83" i="37"/>
  <c r="C83" i="37"/>
  <c r="F83" i="37" s="1" a="1"/>
  <c r="F83" i="37" s="1"/>
  <c r="P82" i="37"/>
  <c r="Q82" i="37" s="1"/>
  <c r="M82" i="37"/>
  <c r="L82" i="37"/>
  <c r="I82" i="37"/>
  <c r="C82" i="37"/>
  <c r="D82" i="37" s="1"/>
  <c r="Q81" i="37"/>
  <c r="P81" i="37"/>
  <c r="M81" i="37"/>
  <c r="L81" i="37"/>
  <c r="I81" i="37"/>
  <c r="C81" i="37"/>
  <c r="F81" i="37" s="1" a="1"/>
  <c r="F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Q76" i="37"/>
  <c r="P76" i="37"/>
  <c r="M76" i="37"/>
  <c r="L76" i="37"/>
  <c r="I76" i="37"/>
  <c r="C76" i="37"/>
  <c r="D76" i="37" s="1"/>
  <c r="P75" i="37"/>
  <c r="Q75" i="37" s="1"/>
  <c r="M75" i="37"/>
  <c r="L75" i="37"/>
  <c r="I75" i="37"/>
  <c r="C75" i="37"/>
  <c r="D75" i="37" s="1"/>
  <c r="P74" i="37"/>
  <c r="Q74" i="37" s="1"/>
  <c r="M74" i="37"/>
  <c r="L74" i="37"/>
  <c r="I74" i="37"/>
  <c r="F74" i="37" a="1"/>
  <c r="F74" i="37" s="1"/>
  <c r="C74" i="37"/>
  <c r="D74" i="37" s="1"/>
  <c r="P73" i="37"/>
  <c r="Q73" i="37" s="1"/>
  <c r="M73" i="37"/>
  <c r="L73" i="37"/>
  <c r="I73" i="37"/>
  <c r="C73" i="37"/>
  <c r="F73" i="37" s="1" a="1"/>
  <c r="F73" i="37" s="1"/>
  <c r="Q72" i="37"/>
  <c r="P72" i="37"/>
  <c r="M72" i="37"/>
  <c r="L72" i="37"/>
  <c r="I72" i="37"/>
  <c r="D72" i="37"/>
  <c r="C72" i="37"/>
  <c r="F72" i="37" s="1" a="1"/>
  <c r="F72" i="37" s="1"/>
  <c r="P71" i="37"/>
  <c r="Q71" i="37" s="1"/>
  <c r="M71" i="37"/>
  <c r="L71" i="37"/>
  <c r="I71" i="37"/>
  <c r="D71" i="37"/>
  <c r="C71" i="37"/>
  <c r="F71" i="37" s="1" a="1"/>
  <c r="F71" i="37" s="1"/>
  <c r="P70" i="37"/>
  <c r="Q70" i="37" s="1"/>
  <c r="M70" i="37"/>
  <c r="L70" i="37"/>
  <c r="I70" i="37"/>
  <c r="C70" i="37"/>
  <c r="F70" i="37" s="1" a="1"/>
  <c r="F70" i="37" s="1"/>
  <c r="P69" i="37"/>
  <c r="Q69" i="37" s="1"/>
  <c r="M69" i="37"/>
  <c r="L69" i="37"/>
  <c r="I69" i="37"/>
  <c r="C69" i="37"/>
  <c r="F69" i="37" s="1" a="1"/>
  <c r="F69" i="37" s="1"/>
  <c r="P68" i="37"/>
  <c r="Q68" i="37" s="1"/>
  <c r="M68" i="37"/>
  <c r="L68" i="37"/>
  <c r="I68" i="37"/>
  <c r="C68" i="37"/>
  <c r="D68" i="37" s="1"/>
  <c r="P67" i="37"/>
  <c r="Q67" i="37" s="1"/>
  <c r="M67" i="37"/>
  <c r="L67" i="37"/>
  <c r="I67" i="37"/>
  <c r="C67" i="37"/>
  <c r="F67" i="37" s="1" a="1"/>
  <c r="F67" i="37" s="1"/>
  <c r="P66" i="37"/>
  <c r="Q66" i="37" s="1"/>
  <c r="M66" i="37"/>
  <c r="L66" i="37"/>
  <c r="I66" i="37"/>
  <c r="F66" i="37" a="1"/>
  <c r="F66" i="37" s="1"/>
  <c r="C66" i="37"/>
  <c r="D66" i="37" s="1"/>
  <c r="P65" i="37"/>
  <c r="Q65" i="37" s="1"/>
  <c r="M65" i="37"/>
  <c r="L65" i="37"/>
  <c r="I65" i="37"/>
  <c r="C65" i="37"/>
  <c r="F65" i="37" s="1" a="1"/>
  <c r="F65" i="37" s="1"/>
  <c r="Q64" i="37"/>
  <c r="P64" i="37"/>
  <c r="M64" i="37"/>
  <c r="L64" i="37"/>
  <c r="I64" i="37"/>
  <c r="C64" i="37"/>
  <c r="F64" i="37" s="1" a="1"/>
  <c r="F64" i="37" s="1"/>
  <c r="P63" i="37"/>
  <c r="Q63" i="37" s="1"/>
  <c r="M63" i="37"/>
  <c r="L63" i="37"/>
  <c r="I63" i="37"/>
  <c r="F63" i="37" a="1"/>
  <c r="F63" i="37" s="1"/>
  <c r="D63" i="37"/>
  <c r="C63" i="37"/>
  <c r="P62" i="37"/>
  <c r="Q62" i="37" s="1"/>
  <c r="M62" i="37"/>
  <c r="L62" i="37"/>
  <c r="I62" i="37"/>
  <c r="C62" i="37"/>
  <c r="F62" i="37" s="1" a="1"/>
  <c r="F62" i="37" s="1"/>
  <c r="P61" i="37"/>
  <c r="Q61" i="37" s="1"/>
  <c r="M61" i="37"/>
  <c r="L61" i="37"/>
  <c r="I61" i="37"/>
  <c r="D61" i="37"/>
  <c r="C61" i="37"/>
  <c r="F61" i="37" s="1" a="1"/>
  <c r="F61" i="37" s="1"/>
  <c r="P60" i="37"/>
  <c r="Q60" i="37" s="1"/>
  <c r="M60" i="37"/>
  <c r="L60" i="37"/>
  <c r="I60" i="37"/>
  <c r="C60" i="37"/>
  <c r="D60" i="37" s="1"/>
  <c r="P59" i="37"/>
  <c r="Q59" i="37" s="1"/>
  <c r="M59" i="37"/>
  <c r="L59" i="37"/>
  <c r="I59" i="37"/>
  <c r="D59" i="37"/>
  <c r="C59" i="37"/>
  <c r="F59" i="37" s="1" a="1"/>
  <c r="F59" i="37" s="1"/>
  <c r="P58" i="37"/>
  <c r="Q58" i="37" s="1"/>
  <c r="M58" i="37"/>
  <c r="L58" i="37"/>
  <c r="I58" i="37"/>
  <c r="C58" i="37"/>
  <c r="D58" i="37" s="1"/>
  <c r="Q57" i="37"/>
  <c r="P57" i="37"/>
  <c r="M57" i="37"/>
  <c r="L57" i="37"/>
  <c r="I57" i="37"/>
  <c r="C57" i="37"/>
  <c r="F57" i="37" s="1" a="1"/>
  <c r="F57" i="37" s="1"/>
  <c r="P56" i="37"/>
  <c r="Q56" i="37" s="1"/>
  <c r="M56" i="37"/>
  <c r="L56" i="37"/>
  <c r="I56" i="37"/>
  <c r="C56" i="37"/>
  <c r="F56" i="37" s="1" a="1"/>
  <c r="F56" i="37" s="1"/>
  <c r="P55" i="37"/>
  <c r="Q55" i="37" s="1"/>
  <c r="M55" i="37"/>
  <c r="L55" i="37"/>
  <c r="I55" i="37"/>
  <c r="F55" i="37" a="1"/>
  <c r="F55" i="37" s="1"/>
  <c r="C55" i="37"/>
  <c r="D55" i="37" s="1"/>
  <c r="Q54" i="37"/>
  <c r="P54" i="37"/>
  <c r="M54" i="37"/>
  <c r="L54" i="37"/>
  <c r="I54" i="37"/>
  <c r="C54" i="37"/>
  <c r="F54" i="37" s="1" a="1"/>
  <c r="F54" i="37" s="1"/>
  <c r="P53" i="37"/>
  <c r="Q53" i="37" s="1"/>
  <c r="M53" i="37"/>
  <c r="L53" i="37"/>
  <c r="I53" i="37"/>
  <c r="C53" i="37"/>
  <c r="F53" i="37" s="1" a="1"/>
  <c r="F53" i="37" s="1"/>
  <c r="P52" i="37"/>
  <c r="Q52" i="37" s="1"/>
  <c r="M52" i="37"/>
  <c r="L52" i="37"/>
  <c r="I52" i="37"/>
  <c r="C52" i="37"/>
  <c r="D52" i="37" s="1"/>
  <c r="P51" i="37"/>
  <c r="Q51" i="37" s="1"/>
  <c r="M51" i="37"/>
  <c r="L51" i="37"/>
  <c r="I51" i="37"/>
  <c r="F51" i="37"/>
  <c r="F51" i="37" a="1"/>
  <c r="C51" i="37"/>
  <c r="D51" i="37" s="1"/>
  <c r="P50" i="37"/>
  <c r="Q50" i="37" s="1"/>
  <c r="M50" i="37"/>
  <c r="L50" i="37"/>
  <c r="I50" i="37"/>
  <c r="F50" i="37" a="1"/>
  <c r="F50" i="37" s="1"/>
  <c r="D50" i="37"/>
  <c r="C50" i="37"/>
  <c r="P49" i="37"/>
  <c r="Q49" i="37" s="1"/>
  <c r="M49" i="37"/>
  <c r="L49" i="37"/>
  <c r="I49" i="37"/>
  <c r="C49" i="37"/>
  <c r="F49" i="37" s="1" a="1"/>
  <c r="F49" i="37" s="1"/>
  <c r="Q48" i="37"/>
  <c r="P48" i="37"/>
  <c r="M48" i="37"/>
  <c r="L48" i="37"/>
  <c r="I48" i="37"/>
  <c r="C48" i="37"/>
  <c r="F48" i="37" s="1" a="1"/>
  <c r="F48" i="37" s="1"/>
  <c r="P47" i="37"/>
  <c r="Q47" i="37" s="1"/>
  <c r="M47" i="37"/>
  <c r="L47" i="37"/>
  <c r="I47" i="37"/>
  <c r="C47" i="37"/>
  <c r="D47" i="37" s="1"/>
  <c r="P46" i="37"/>
  <c r="Q46" i="37" s="1"/>
  <c r="M46" i="37"/>
  <c r="L46" i="37"/>
  <c r="I46" i="37"/>
  <c r="C46" i="37"/>
  <c r="F46" i="37" s="1" a="1"/>
  <c r="F46" i="37" s="1"/>
  <c r="P45" i="37"/>
  <c r="Q45" i="37" s="1"/>
  <c r="M45" i="37"/>
  <c r="L45" i="37"/>
  <c r="I45" i="37"/>
  <c r="D45" i="37"/>
  <c r="C45" i="37"/>
  <c r="F45" i="37" s="1" a="1"/>
  <c r="F45" i="37" s="1"/>
  <c r="P44" i="37"/>
  <c r="Q44" i="37" s="1"/>
  <c r="M44" i="37"/>
  <c r="L44" i="37"/>
  <c r="I44" i="37"/>
  <c r="C44" i="37"/>
  <c r="D44" i="37" s="1"/>
  <c r="P43" i="37"/>
  <c r="Q43" i="37" s="1"/>
  <c r="M43" i="37"/>
  <c r="L43" i="37"/>
  <c r="I43" i="37"/>
  <c r="C43" i="37"/>
  <c r="D43" i="37" s="1"/>
  <c r="P42" i="37"/>
  <c r="Q42" i="37" s="1"/>
  <c r="M42" i="37"/>
  <c r="L42" i="37"/>
  <c r="I42" i="37"/>
  <c r="D42" i="37"/>
  <c r="C42" i="37"/>
  <c r="F42" i="37" s="1" a="1"/>
  <c r="F42" i="37" s="1"/>
  <c r="P41" i="37"/>
  <c r="Q41" i="37" s="1"/>
  <c r="M41" i="37"/>
  <c r="L41" i="37"/>
  <c r="I41" i="37"/>
  <c r="C41" i="37"/>
  <c r="F41" i="37" s="1" a="1"/>
  <c r="F41" i="37" s="1"/>
  <c r="Q40" i="37"/>
  <c r="P40" i="37"/>
  <c r="M40" i="37"/>
  <c r="L40" i="37"/>
  <c r="I40" i="37"/>
  <c r="D40" i="37"/>
  <c r="C40" i="37"/>
  <c r="F40" i="37" s="1" a="1"/>
  <c r="F40" i="37" s="1"/>
  <c r="P39" i="37"/>
  <c r="Q39" i="37" s="1"/>
  <c r="M39" i="37"/>
  <c r="L39" i="37"/>
  <c r="I39" i="37"/>
  <c r="C39" i="37"/>
  <c r="F39" i="37" s="1" a="1"/>
  <c r="F39" i="37" s="1"/>
  <c r="P38" i="37"/>
  <c r="Q38" i="37" s="1"/>
  <c r="M38" i="37"/>
  <c r="L38" i="37"/>
  <c r="I38" i="37"/>
  <c r="C38" i="37"/>
  <c r="F38" i="37" s="1" a="1"/>
  <c r="F38" i="37" s="1"/>
  <c r="P37" i="37"/>
  <c r="Q37" i="37" s="1"/>
  <c r="M37" i="37"/>
  <c r="L37" i="37"/>
  <c r="I37" i="37"/>
  <c r="D37" i="37"/>
  <c r="C37" i="37"/>
  <c r="F37" i="37" s="1" a="1"/>
  <c r="F37" i="37" s="1"/>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43" i="37" l="1" a="1"/>
  <c r="F43" i="37" s="1"/>
  <c r="F47" i="37" a="1"/>
  <c r="F47" i="37" s="1"/>
  <c r="F60" i="37" a="1"/>
  <c r="F60" i="37" s="1"/>
  <c r="D83" i="37"/>
  <c r="F44" i="37" a="1"/>
  <c r="F44" i="37" s="1"/>
  <c r="F75" i="37" a="1"/>
  <c r="F75" i="37" s="1"/>
  <c r="F98" i="37" a="1"/>
  <c r="F98" i="37" s="1"/>
  <c r="F52" i="37" a="1"/>
  <c r="F52" i="37" s="1"/>
  <c r="D69" i="37"/>
  <c r="F92" i="37" a="1"/>
  <c r="F92" i="37" s="1"/>
  <c r="D39" i="37"/>
  <c r="D80" i="37"/>
  <c r="F84" i="37" a="1"/>
  <c r="F84" i="37" s="1"/>
  <c r="D88" i="27"/>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53" i="37"/>
  <c r="F58" i="37" a="1"/>
  <c r="F58" i="37" s="1"/>
  <c r="D64" i="37"/>
  <c r="F76" i="37" a="1"/>
  <c r="F76" i="37" s="1"/>
  <c r="D87" i="37"/>
  <c r="F99" i="37" a="1"/>
  <c r="F99" i="37" s="1"/>
  <c r="D16" i="38"/>
  <c r="D24" i="38"/>
  <c r="D32" i="38"/>
  <c r="D40" i="38"/>
  <c r="D48" i="38"/>
  <c r="D56" i="38"/>
  <c r="D64" i="38"/>
  <c r="D73" i="38"/>
  <c r="D81" i="38"/>
  <c r="D89" i="38"/>
  <c r="F96" i="38" a="1"/>
  <c r="F96" i="38" s="1"/>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56" i="37"/>
  <c r="D67" i="37"/>
  <c r="F68" i="37" a="1"/>
  <c r="F68" i="37" s="1"/>
  <c r="D79" i="37"/>
  <c r="D13" i="38"/>
  <c r="D21" i="38"/>
  <c r="D29" i="38"/>
  <c r="D37" i="38"/>
  <c r="D45" i="38"/>
  <c r="D53" i="38"/>
  <c r="D61" i="38"/>
  <c r="D70" i="38"/>
  <c r="D78" i="38"/>
  <c r="D86" i="38"/>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48" i="37"/>
  <c r="D85" i="37"/>
  <c r="F90" i="37" a="1"/>
  <c r="F90" i="37" s="1"/>
  <c r="D96" i="37"/>
  <c r="D69" i="38"/>
  <c r="F100" i="38" a="1"/>
  <c r="F100" i="38" s="1"/>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01" i="37"/>
  <c r="D10" i="38"/>
  <c r="D18" i="38"/>
  <c r="D26" i="38"/>
  <c r="D34" i="38"/>
  <c r="D42" i="38"/>
  <c r="D50" i="38"/>
  <c r="D58" i="38"/>
  <c r="D66" i="38"/>
  <c r="F76" i="38" a="1"/>
  <c r="F76" i="38" s="1"/>
  <c r="F84" i="38" a="1"/>
  <c r="F84" i="38" s="1"/>
  <c r="F92" i="38" a="1"/>
  <c r="F92" i="38" s="1"/>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77" i="37"/>
  <c r="F82" i="37" a="1"/>
  <c r="F82" i="37" s="1"/>
  <c r="D88" i="37"/>
  <c r="F100" i="37" a="1"/>
  <c r="F100" i="37" s="1"/>
  <c r="D17" i="38"/>
  <c r="D25" i="38"/>
  <c r="D33" i="38"/>
  <c r="D38" i="37"/>
  <c r="D46" i="37"/>
  <c r="D54" i="37"/>
  <c r="D62" i="37"/>
  <c r="D70" i="37"/>
  <c r="D78" i="37"/>
  <c r="D86" i="37"/>
  <c r="D94" i="37"/>
  <c r="D41" i="37"/>
  <c r="D49" i="37"/>
  <c r="D57" i="37"/>
  <c r="D65" i="37"/>
  <c r="D73" i="37"/>
  <c r="D81" i="37"/>
  <c r="D89" i="37"/>
  <c r="D97"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L8" i="38" s="1"/>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<sst xmlns="http://schemas.openxmlformats.org/spreadsheetml/2006/main" count="1566" uniqueCount="368">
  <si>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</si>
  <si>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</si>
  <si>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</si>
  <si>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</si>
  <si>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</si>
  <si>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</si>
  <si>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</si>
  <si>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</si>
  <si>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</si>
  <si>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</si>
  <si>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</si>
  <si>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</si>
  <si>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</si>
  <si>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</si>
  <si>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</si>
  <si>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</si>
  <si>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</si>
  <si>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</si>
  <si>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</si>
  <si>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</si>
  <si>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</si>
  <si>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</si>
  <si>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</si>
  <si>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</si>
  <si>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</si>
  <si>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</si>
  <si>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</si>
  <si>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</si>
  <si>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</si>
  <si>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</si>
  <si>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</si>
  <si>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</si>
  <si>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</si>
  <si>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</si>
  <si>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</si>
  <si>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</si>
  <si>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</si>
  <si>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</si>
  <si>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</si>
  <si>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</si>
  <si>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</si>
  <si>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</si>
  <si>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</si>
  <si>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</si>
  <si>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</si>
  <si>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</si>
  <si>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</si>
  <si>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</si>
  <si>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</si>
  <si>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</si>
  <si>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</si>
  <si>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</si>
  <si>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</si>
  <si>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</si>
  <si>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</si>
  <si>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</si>
  <si>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</si>
  <si>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</si>
  <si>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</si>
  <si>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</si>
  <si>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</si>
  <si>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</si>
  <si>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</si>
  <si>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</si>
  <si>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</si>
  <si>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</si>
  <si>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</si>
  <si>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</si>
  <si>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</si>
  <si>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</si>
  <si>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</si>
  <si>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</si>
  <si>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</si>
  <si>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</si>
  <si>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</si>
  <si>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</si>
  <si>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</si>
  <si>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</si>
  <si>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</si>
  <si>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</si>
  <si>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</si>
  <si>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</si>
  <si>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</si>
  <si>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</si>
  <si>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</si>
  <si>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</si>
  <si>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</si>
  <si>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</si>
  <si>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</si>
  <si>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</si>
  <si>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</si>
  <si>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</si>
  <si>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</si>
  <si>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</si>
  <si>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</si>
  <si>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</si>
  <si>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</si>
  <si>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</si>
  <si>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</si>
  <si>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</si>
  <si>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</si>
  <si>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</si>
  <si>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</si>
  <si>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</si>
  <si>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</si>
  <si>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</si>
  <si>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</si>
  <si>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</si>
  <si>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</si>
  <si>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</si>
  <si>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</si>
  <si>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</si>
  <si>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</si>
  <si>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</si>
  <si>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</si>
  <si>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</si>
  <si>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</si>
  <si>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</si>
  <si>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</si>
  <si>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</si>
  <si>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</si>
  <si>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</si>
  <si>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</si>
  <si>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</si>
  <si>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</si>
  <si>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</si>
  <si>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</si>
  <si>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</si>
  <si>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</si>
  <si>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</si>
  <si>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</si>
  <si>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</si>
  <si>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</si>
  <si>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</si>
  <si>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</si>
  <si>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</si>
  <si>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</si>
  <si>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</si>
  <si>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</si>
  <si>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</si>
  <si>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</si>
  <si>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</si>
  <si>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</si>
  <si>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</si>
  <si>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</si>
  <si>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</si>
  <si>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</si>
  <si>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</si>
  <si>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</si>
  <si>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</si>
  <si>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</si>
  <si>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</si>
  <si>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</si>
  <si>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</si>
  <si>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</si>
  <si>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</si>
  <si>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</si>
  <si>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</si>
  <si>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</si>
  <si>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</si>
  <si>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</si>
  <si>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</si>
  <si>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</si>
  <si>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</si>
  <si>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</si>
  <si>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</si>
  <si>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</si>
  <si>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</si>
  <si>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</si>
  <si>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</si>
  <si>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</si>
  <si>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</si>
  <si>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</si>
  <si>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</si>
  <si>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</si>
  <si>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</si>
  <si>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</si>
  <si>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</si>
  <si>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</si>
  <si>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</si>
  <si>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</si>
  <si>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</si>
  <si>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</si>
  <si>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</si>
  <si>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</si>
  <si>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</si>
  <si>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</si>
  <si>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</si>
  <si>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</si>
  <si>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</si>
  <si>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</si>
  <si>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</si>
  <si>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</si>
  <si>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</si>
  <si>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</si>
  <si>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</si>
  <si>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</si>
  <si>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</si>
  <si>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</si>
  <si>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</si>
  <si>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</si>
  <si>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</si>
  <si>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</si>
  <si>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</si>
  <si>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</si>
  <si>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</si>
  <si>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</si>
  <si>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</si>
  <si>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</si>
  <si>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</si>
  <si>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</si>
  <si>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</si>
  <si>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</si>
  <si>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</si>
  <si>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</si>
  <si>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</si>
  <si>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</si>
  <si>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</si>
  <si>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</si>
  <si>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</si>
  <si>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</si>
  <si>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</si>
  <si>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</si>
  <si>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</si>
  <si>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</si>
  <si>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</si>
  <si>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</si>
  <si>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</si>
  <si>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</si>
  <si>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</si>
  <si>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</si>
  <si>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</si>
  <si>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</si>
  <si>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</si>
  <si>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</si>
  <si>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</si>
  <si>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</si>
  <si>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</si>
  <si>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</si>
  <si>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</si>
  <si>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</si>
  <si>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</si>
  <si>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</si>
  <si>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</si>
  <si>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</si>
  <si>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</si>
  <si>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</si>
  <si>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</si>
  <si>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</si>
  <si>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</si>
  <si>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</si>
  <si>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</si>
  <si>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</si>
  <si>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</si>
  <si>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</si>
  <si>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</si>
  <si>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</si>
  <si>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</si>
  <si>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</si>
  <si>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</si>
  <si>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</si>
  <si>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</si>
  <si>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</si>
  <si>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</si>
  <si>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</si>
  <si>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</si>
  <si>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</si>
  <si>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</si>
  <si>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</si>
  <si>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</si>
  <si>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</si>
  <si>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</si>
  <si>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</si>
  <si>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</si>
  <si>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</si>
  <si>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</si>
  <si>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</si>
  <si>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</si>
  <si>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</si>
  <si>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</si>
  <si>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</si>
  <si>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</si>
  <si>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</si>
  <si>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</si>
  <si>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</si>
  <si>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</si>
  <si>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</si>
  <si>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</si>
  <si>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</si>
  <si>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</si>
  <si>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</si>
  <si>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</si>
  <si>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</si>
  <si>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</si>
  <si>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</si>
  <si>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</si>
  <si>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</si>
  <si>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</si>
  <si>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</si>
  <si>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</si>
  <si>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</si>
  <si>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</si>
  <si>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</si>
  <si>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</si>
  <si>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</si>
  <si>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</si>
  <si>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</si>
  <si>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</si>
  <si>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</si>
  <si>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</si>
  <si>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</si>
  <si>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</si>
  <si>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</si>
  <si>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</si>
  <si>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</si>
  <si>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</si>
  <si>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</si>
  <si>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</si>
  <si>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</si>
  <si>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</si>
  <si>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</si>
  <si>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</si>
  <si>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</si>
  <si>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</si>
  <si>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</si>
  <si>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</si>
  <si>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</si>
  <si>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</si>
  <si>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</si>
  <si>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</si>
  <si>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</si>
  <si>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</si>
  <si>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</si>
  <si>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</si>
  <si>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</si>
  <si>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</si>
  <si>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</si>
  <si>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</si>
  <si>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</si>
  <si>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</si>
  <si>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</si>
  <si>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</si>
  <si>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</si>
  <si>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</si>
  <si>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</si>
  <si>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</si>
  <si>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</si>
  <si>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</si>
  <si>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</si>
  <si>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</si>
  <si>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</si>
  <si>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</si>
  <si>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</si>
  <si>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</si>
  <si>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</si>
  <si>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</si>
  <si>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</si>
  <si>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</si>
  <si>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</si>
  <si>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</si>
  <si>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</si>
  <si>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</si>
  <si>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$/mmBTU</t>
  </si>
  <si>
    <t>$/kg</t>
  </si>
  <si>
    <t>Fuel production</t>
  </si>
  <si>
    <t>CO2 emissions from the use of Na2CO3.</t>
  </si>
  <si>
    <t>CO2 emissions from Toluene combustion.</t>
  </si>
  <si>
    <t>Biogenic CO2 sequestration by BKA.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</si>
</sst>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1">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167" fontId="0" fillId="0" borderId="0" xfId="0" applyNumberFormat="1"/>
    <xf numFmtId="165" fontId="0" fillId="0" borderId="2" xfId="1" applyNumberFormat="1" applyFont="1" applyFill="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0" fontId="0" fillId="0" borderId="2" xfId="0" applyFont="1" applyBorder="1"/>
    <xf numFmtId="0" fontId="0" fillId="0" borderId="2" xfId="0" applyNumberFormat="1" applyFont="1" applyBorder="1"/>
    <xf numFmtId="9" fontId="0" fillId="0" borderId="2" xfId="2" applyNumberFormat="1" applyFont="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1" totalsRowShown="0" headerRowDxfId="45" dataDxfId="44" tableBorderDxfId="43" dataCellStyle="Percent">
  <autoFilter ref="A5:T101" xr:uid="{1644AED8-49DE-4A1D-989C-1566C9A522B9}"/>
  <tableColumns count="20">
    <tableColumn id="1" xr3:uid="{33ABF04E-09BD-4797-A9C5-1C99BC76AAB9}" name="Type" dataDxfId="42"/>
    <tableColumn id="2" xr3:uid="{40D4D604-B02D-4BF7-8958-8A82AB82B33E}" name="Category" dataDxfId="41"/>
    <tableColumn id="3" xr3:uid="{34EA3E8E-D41B-407C-8FF5-980CB390A98C}" name="Resource" dataDxfId="40">
      <calculatedColumnFormula>_xlfn.XLOOKUP($B6,'SI - Resources'!$A$1:$J$1,'SI - Resources'!$A$2:$J$2, "")</calculatedColumnFormula>
    </tableColumn>
    <tableColumn id="4" xr3:uid="{9CD3955B-8ADB-4A09-A215-8C2C05BF8B9F}" name="End Use" dataDxfId="39">
      <calculatedColumnFormula>IF(_xlfn.XLOOKUP($C6,'SI - End Use'!$B$2:$B$6,'SI - End Use'!$C$2:$C$6, "")="", "", _xlfn.XLOOKUP($C6,'SI - End Use'!$B$2:$B$6,'SI - End Use'!$C$2:$C$6, ""))</calculatedColumnFormula>
    </tableColumn>
    <tableColumn id="5" xr3:uid="{08CA2DFA-7917-4F9F-9929-262733A67D2D}" name="Amount" dataDxfId="38" dataCellStyle="Comma"/>
    <tableColumn id="6" xr3:uid="{48DD1BF5-6754-4E37-A41F-24DB63B55472}" name="Unit" dataDxfId="37">
      <calculatedColumnFormula array="1">IF($B6="Transportation",  'SI - Units'!$B$9:$B$9, _xlfn.XLOOKUP(_xlfn.XLOOKUP($C6,'SI - Units'!$B$24:$B$109,'SI - Units'!$C$24:$C$109, ""),'SI - Units'!$A$2:$A$8,'SI - Units'!$B$2:$B$8, ""))</calculatedColumnFormula>
    </tableColumn>
    <tableColumn id="7" xr3:uid="{8C2F4A69-5DE6-4732-879A-0022BDE8BD39}" name="Moisture" dataDxfId="36" dataCellStyle="Percent"/>
    <tableColumn id="8" xr3:uid="{475953B8-DE11-4506-848C-234264A47BD5}" name="Previous Stage" dataDxfId="35" dataCellStyle="Percent"/>
    <tableColumn id="9" xr3:uid="{A2848191-4749-4960-87D1-D85422A5FC3F}" name="Always Use Displacement Method for Co-Product?" dataDxfId="34" dataCellStyle="Percent">
      <calculatedColumnFormula>IF(Table118[[#This Row],[Type]]="Co-product", "No", "")</calculatedColumnFormula>
    </tableColumn>
    <tableColumn id="19" xr3:uid="{23F2E37F-E955-4384-8A73-A84B5B8E1AA4}" name="Urban Share" dataDxfId="33" dataCellStyle="Percent"/>
    <tableColumn id="10" xr3:uid="{48331A88-0403-41B4-B872-D0095188E4C8}" name="Product Train" dataDxfId="32"/>
    <tableColumn id="14" xr3:uid="{A65F31CF-5A62-4173-B206-0D065BC124B9}" name="Payload" dataDxfId="31">
      <calculatedColumnFormula>IF(Table118[[#This Row],[Category]]="Transportation", _xlfn.XLOOKUP(Table118[[#This Row],[Resource]], 'SI - Payload'!$A$10:$A$40,'SI - Payload'!$B$10:$B$40,"",0), "")</calculatedColumnFormula>
    </tableColumn>
    <tableColumn id="15" xr3:uid="{38ED7F84-2990-44C0-80BA-681DB1F3A1B3}" name="Payload Unit" dataDxfId="30">
      <calculatedColumnFormula>IF(Table118[[#This Row],[Category]]="Transportation", "ton", "")</calculatedColumnFormula>
    </tableColumn>
    <tableColumn id="16" xr3:uid="{3EA90AC8-EF73-4B41-8054-C7C08D14E555}" name="Market Price" dataDxfId="29"/>
    <tableColumn id="17" xr3:uid="{60B40A22-4EE8-4AFB-986E-C06DC97ABD59}" name="Market Price Unit" dataDxfId="28"/>
    <tableColumn id="12" xr3:uid="{E81D3FE1-05F3-491A-8711-9141BC7493CE}" name="Incumbent Product" dataDxfId="27">
      <calculatedColumnFormula>IF(OR(Table118[[#This Row],[Type]]="Main Product", Table118[[#This Row],[Type]]="Co-Product"), Table118[[#This Row],[Resource]], "")</calculatedColumnFormula>
    </tableColumn>
    <tableColumn id="13" xr3:uid="{35B40548-1955-485D-8692-F91CEF43CF7D}" name="End Use of Incumbent Product" dataDxfId="26">
      <calculatedColumnFormula>IF(_xlfn.XLOOKUP($P6,'SI - End Use'!$B$2:$B$6,'SI - End Use'!$C$2:$C$6, "")="", "", _xlfn.XLOOKUP($C6,'SI - End Use'!$B$2:$B$6,'SI - End Use'!$C$2:$C$6, ""))</calculatedColumnFormula>
    </tableColumn>
    <tableColumn id="20" xr3:uid="{F45BBE6F-28CD-4986-81B6-36E0801004AE}" name="Surrogate For" dataDxfId="25"/>
    <tableColumn id="18" xr3:uid="{FEED3D3D-1054-4240-9EEB-176D1CC5BEDC}" name="Process" dataDxfId="24"/>
    <tableColumn id="11" xr3:uid="{0A104DC0-C05E-4618-BB00-4946D0FE3063}"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C29E91-D460-4149-9F2D-F039A62343CD}" name="Table13" displayName="Table13" ref="A5:T100" totalsRowShown="0" headerRowDxfId="22" dataDxfId="21" tableBorderDxfId="20" dataCellStyle="Percent">
  <autoFilter ref="A5:T100" xr:uid="{1644AED8-49DE-4A1D-989C-1566C9A522B9}"/>
  <tableColumns count="20">
    <tableColumn id="1" xr3:uid="{3976C997-9556-498C-92F1-16680EA2F3CB}" name="Type" dataDxfId="19"/>
    <tableColumn id="2" xr3:uid="{9D2055FE-353B-420C-B5E6-0F45671CDF94}" name="Category" dataDxfId="18"/>
    <tableColumn id="3" xr3:uid="{0C3E5568-6184-4D8B-8788-D60CC3F7976B}" name="Resource" dataDxfId="17">
      <calculatedColumnFormula>_xlfn.XLOOKUP($B6,'SI - Resources'!$A$1:$J$1,'SI - Resources'!$A$2:$J$2, "")</calculatedColumnFormula>
    </tableColumn>
    <tableColumn id="4" xr3:uid="{BC6B62C5-30F2-4A35-9E90-D2D012F89BF4}" name="End Use" dataDxfId="16">
      <calculatedColumnFormula>IF(_xlfn.XLOOKUP($C6,'SI - End Use'!$B$2:$B$6,'SI - End Use'!$C$2:$C$6, "")="", "", _xlfn.XLOOKUP($C6,'SI - End Use'!$B$2:$B$6,'SI - End Use'!$C$2:$C$6, ""))</calculatedColumnFormula>
    </tableColumn>
    <tableColumn id="5" xr3:uid="{75A3A8AC-EF17-45C3-BC88-7648CAA2EBD6}" name="Amount" dataDxfId="15" dataCellStyle="Comma"/>
    <tableColumn id="6" xr3:uid="{4397A965-B7DE-49CC-A938-33B87880C189}" name="Unit" dataDxfId="14">
      <calculatedColumnFormula array="1">IF($B6="Transportation",  'SI - Units'!$B$9:$B$9, _xlfn.XLOOKUP(_xlfn.XLOOKUP($C6,'SI - Units'!$B$24:$B$109,'SI - Units'!$C$24:$C$109, ""),'SI - Units'!$A$2:$A$8,'SI - Units'!$B$2:$B$8, ""))</calculatedColumnFormula>
    </tableColumn>
    <tableColumn id="7" xr3:uid="{3208E6C4-35DE-48E5-BE93-4A799EAA8F07}" name="Moisture" dataDxfId="13" dataCellStyle="Percent"/>
    <tableColumn id="8" xr3:uid="{4698F969-6E84-403E-866B-18B8D0A5D614}" name="Previous Stage" dataDxfId="12" dataCellStyle="Percent"/>
    <tableColumn id="9" xr3:uid="{5C05716A-7BF7-419B-AE66-1E468E6E2F3C}" name="Always Use Displacement Method for Co-Product?" dataDxfId="11" dataCellStyle="Percent">
      <calculatedColumnFormula>IF(Table13[[#This Row],[Type]]="Co-product", "No", "")</calculatedColumnFormula>
    </tableColumn>
    <tableColumn id="19" xr3:uid="{B41E83AF-8DE0-49FE-B222-37D37BB5255F}" name="Urban Share" dataDxfId="10" dataCellStyle="Percent"/>
    <tableColumn id="10" xr3:uid="{7B07E87A-0B23-4911-ABE6-FC378C641CAB}" name="Product Train" dataDxfId="9"/>
    <tableColumn id="14" xr3:uid="{4AA1D20A-4450-4D21-9861-929E238434C9}" name="Payload" dataDxfId="8">
      <calculatedColumnFormula>IF(Table13[[#This Row],[Category]]="Transportation", _xlfn.XLOOKUP(Table13[[#This Row],[Resource]], 'SI - Payload'!$A$10:$A$40,'SI - Payload'!$B$10:$B$40,"",0), "")</calculatedColumnFormula>
    </tableColumn>
    <tableColumn id="15" xr3:uid="{188AE9FC-FC9F-4667-8EAE-F093ACB6E6D6}" name="Payload Unit" dataDxfId="7">
      <calculatedColumnFormula>IF(Table13[[#This Row],[Category]]="Transportation", "ton", "")</calculatedColumnFormula>
    </tableColumn>
    <tableColumn id="16" xr3:uid="{38EABF0F-C94B-43DF-A42F-75D54CB27131}" name="Market Price" dataDxfId="6"/>
    <tableColumn id="17" xr3:uid="{903BF539-5272-4066-8F31-94F4CDB884B3}" name="Market Price Unit" dataDxfId="5"/>
    <tableColumn id="12" xr3:uid="{DAE1F886-9154-4461-B40A-00F330C13C90}" name="Incumbent Product" dataDxfId="4">
      <calculatedColumnFormula>IF(OR(Table13[[#This Row],[Type]]="Main Product", Table13[[#This Row],[Type]]="Co-Product"), Table13[[#This Row],[Resource]], "")</calculatedColumnFormula>
    </tableColumn>
    <tableColumn id="13" xr3:uid="{DEB35349-08F5-4848-B427-22B70C63FF93}" name="End Use of Incumbent Product" dataDxfId="3">
      <calculatedColumnFormula>IF(_xlfn.XLOOKUP($P6,'SI - End Use'!$B$2:$B$6,'SI - End Use'!$C$2:$C$6, "")="", "", _xlfn.XLOOKUP($C6,'SI - End Use'!$B$2:$B$6,'SI - End Use'!$C$2:$C$6, ""))</calculatedColumnFormula>
    </tableColumn>
    <tableColumn id="20" xr3:uid="{50A2A0DF-C425-4153-A0C9-9EB2DE42E92C}" name="Surrogate For" dataDxfId="2"/>
    <tableColumn id="18" xr3:uid="{6F740BA7-F290-4A1A-A3E7-67F405978F05}" name="Process" dataDxfId="1"/>
    <tableColumn id="11" xr3:uid="{1559A99A-CB76-4BFE-A55F-B718712109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80" t="s">
        <v>261</v>
      </c>
      <c r="B2" s="80"/>
    </row>
    <row r="3" spans="1:3" ht="29.1" customHeight="1" x14ac:dyDescent="0.25">
      <c r="A3" s="82" t="s">
        <v>274</v>
      </c>
      <c r="B3" s="82"/>
    </row>
    <row r="4" spans="1:3" ht="27.95" customHeight="1" x14ac:dyDescent="0.25">
      <c r="A4" s="19"/>
      <c r="B4" s="19"/>
    </row>
    <row r="5" spans="1:3" ht="27.95" customHeight="1" x14ac:dyDescent="0.25">
      <c r="A5" s="81" t="s">
        <v>260</v>
      </c>
      <c r="B5" s="81"/>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s="50" t="s">
        <v>312</v>
      </c>
      <c r="B17" s="50">
        <f>W6</f>
        <v>0</v>
      </c>
    </row>
    <row r="18" spans="1:2" x14ac:dyDescent="0.25">
      <c r="A18" s="50" t="s">
        <v>313</v>
      </c>
      <c r="B18" s="50">
        <f>W6</f>
        <v>0</v>
      </c>
    </row>
    <row r="19" spans="1:2" x14ac:dyDescent="0.25">
      <c r="A19" t="s">
        <v>13</v>
      </c>
      <c r="B19" s="50">
        <f>$Y$4</f>
        <v>22.5</v>
      </c>
    </row>
    <row r="20" spans="1:2" x14ac:dyDescent="0.25">
      <c r="A20" t="s">
        <v>14</v>
      </c>
      <c r="B20" s="50">
        <f t="shared" ref="B20:B40" si="0">$Y$4</f>
        <v>22.5</v>
      </c>
    </row>
    <row r="21" spans="1:2" x14ac:dyDescent="0.25">
      <c r="A21" t="s">
        <v>15</v>
      </c>
      <c r="B21" s="50">
        <f t="shared" si="0"/>
        <v>22.5</v>
      </c>
    </row>
    <row r="22" spans="1:2" x14ac:dyDescent="0.25">
      <c r="A22" t="s">
        <v>16</v>
      </c>
      <c r="B22" s="50">
        <f t="shared" si="0"/>
        <v>22.5</v>
      </c>
    </row>
    <row r="23" spans="1:2" x14ac:dyDescent="0.25">
      <c r="A23" t="s">
        <v>17</v>
      </c>
      <c r="B23" s="50">
        <f t="shared" si="0"/>
        <v>22.5</v>
      </c>
    </row>
    <row r="24" spans="1:2" x14ac:dyDescent="0.25">
      <c r="A24" t="s">
        <v>18</v>
      </c>
      <c r="B24" s="50">
        <f t="shared" si="0"/>
        <v>22.5</v>
      </c>
    </row>
    <row r="25" spans="1:2" x14ac:dyDescent="0.25">
      <c r="A25" t="s">
        <v>19</v>
      </c>
      <c r="B25" s="50">
        <f t="shared" si="0"/>
        <v>22.5</v>
      </c>
    </row>
    <row r="26" spans="1:2" x14ac:dyDescent="0.25">
      <c r="A26" t="s">
        <v>107</v>
      </c>
      <c r="B26" s="50">
        <f t="shared" si="0"/>
        <v>22.5</v>
      </c>
    </row>
    <row r="27" spans="1:2" x14ac:dyDescent="0.25">
      <c r="A27" t="s">
        <v>106</v>
      </c>
      <c r="B27" s="50">
        <f t="shared" si="0"/>
        <v>22.5</v>
      </c>
    </row>
    <row r="28" spans="1:2" x14ac:dyDescent="0.25">
      <c r="A28" t="s">
        <v>21</v>
      </c>
      <c r="B28" s="50">
        <f t="shared" si="0"/>
        <v>22.5</v>
      </c>
    </row>
    <row r="29" spans="1:2" x14ac:dyDescent="0.25">
      <c r="A29" t="s">
        <v>36</v>
      </c>
      <c r="B29" s="50">
        <f t="shared" si="0"/>
        <v>22.5</v>
      </c>
    </row>
    <row r="30" spans="1:2" x14ac:dyDescent="0.25">
      <c r="A30" t="s">
        <v>23</v>
      </c>
      <c r="B30" s="50">
        <f t="shared" si="0"/>
        <v>22.5</v>
      </c>
    </row>
    <row r="31" spans="1:2" x14ac:dyDescent="0.25">
      <c r="A31" t="s">
        <v>25</v>
      </c>
      <c r="B31" s="50">
        <f t="shared" si="0"/>
        <v>22.5</v>
      </c>
    </row>
    <row r="32" spans="1:2" x14ac:dyDescent="0.25">
      <c r="A32" t="s">
        <v>26</v>
      </c>
      <c r="B32" s="50">
        <f t="shared" si="0"/>
        <v>22.5</v>
      </c>
    </row>
    <row r="33" spans="1:2" x14ac:dyDescent="0.25">
      <c r="A33" t="s">
        <v>30</v>
      </c>
      <c r="B33" s="50">
        <f t="shared" si="0"/>
        <v>22.5</v>
      </c>
    </row>
    <row r="34" spans="1:2" x14ac:dyDescent="0.25">
      <c r="A34" t="s">
        <v>21</v>
      </c>
      <c r="B34" s="50">
        <f t="shared" si="0"/>
        <v>22.5</v>
      </c>
    </row>
    <row r="35" spans="1:2" x14ac:dyDescent="0.25">
      <c r="A35" t="s">
        <v>20</v>
      </c>
      <c r="B35" s="50">
        <f t="shared" si="0"/>
        <v>22.5</v>
      </c>
    </row>
    <row r="36" spans="1:2" x14ac:dyDescent="0.25">
      <c r="A36" t="s">
        <v>36</v>
      </c>
      <c r="B36" s="50">
        <f t="shared" si="0"/>
        <v>22.5</v>
      </c>
    </row>
    <row r="37" spans="1:2" x14ac:dyDescent="0.25">
      <c r="A37" t="s">
        <v>25</v>
      </c>
      <c r="B37" s="50">
        <f t="shared" si="0"/>
        <v>22.5</v>
      </c>
    </row>
    <row r="38" spans="1:2" x14ac:dyDescent="0.25">
      <c r="A38" t="s">
        <v>239</v>
      </c>
      <c r="B38" s="50">
        <v>23</v>
      </c>
    </row>
    <row r="39" spans="1:2" x14ac:dyDescent="0.25">
      <c r="A39" t="s">
        <v>243</v>
      </c>
      <c r="B39" s="50">
        <v>23</v>
      </c>
    </row>
    <row r="40" spans="1:2" x14ac:dyDescent="0.2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71</v>
      </c>
      <c r="J4" t="s">
        <v>220</v>
      </c>
      <c r="R4" t="s">
        <v>3</v>
      </c>
      <c r="S4" t="s">
        <v>323</v>
      </c>
    </row>
    <row r="5" spans="1:19" x14ac:dyDescent="0.25">
      <c r="C5" s="1" t="s">
        <v>309</v>
      </c>
      <c r="D5" s="1"/>
      <c r="E5" s="1" t="s">
        <v>36</v>
      </c>
      <c r="G5" t="s">
        <v>286</v>
      </c>
      <c r="H5" t="s">
        <v>276</v>
      </c>
      <c r="J5" t="s">
        <v>221</v>
      </c>
      <c r="R5" t="s">
        <v>37</v>
      </c>
      <c r="S5" t="s">
        <v>327</v>
      </c>
    </row>
    <row r="6" spans="1:19" x14ac:dyDescent="0.25">
      <c r="C6" t="s">
        <v>71</v>
      </c>
      <c r="E6" s="1" t="s">
        <v>13</v>
      </c>
      <c r="H6" t="s">
        <v>277</v>
      </c>
      <c r="J6" t="s">
        <v>222</v>
      </c>
      <c r="R6" t="s">
        <v>29</v>
      </c>
      <c r="S6" t="s">
        <v>324</v>
      </c>
    </row>
    <row r="7" spans="1:19" x14ac:dyDescent="0.25">
      <c r="C7" t="s">
        <v>276</v>
      </c>
      <c r="E7" s="1" t="s">
        <v>235</v>
      </c>
      <c r="H7" t="s">
        <v>312</v>
      </c>
      <c r="J7" t="s">
        <v>223</v>
      </c>
      <c r="R7" t="s">
        <v>282</v>
      </c>
      <c r="S7" t="s">
        <v>328</v>
      </c>
    </row>
    <row r="8" spans="1:19" x14ac:dyDescent="0.25">
      <c r="C8" t="s">
        <v>277</v>
      </c>
      <c r="E8" s="1" t="s">
        <v>25</v>
      </c>
      <c r="H8" t="s">
        <v>313</v>
      </c>
      <c r="J8" t="s">
        <v>224</v>
      </c>
      <c r="R8" t="s">
        <v>33</v>
      </c>
      <c r="S8" t="s">
        <v>333</v>
      </c>
    </row>
    <row r="9" spans="1:19" x14ac:dyDescent="0.25">
      <c r="C9" t="s">
        <v>312</v>
      </c>
      <c r="E9" s="1" t="s">
        <v>279</v>
      </c>
      <c r="H9" t="s">
        <v>243</v>
      </c>
      <c r="J9" t="s">
        <v>225</v>
      </c>
      <c r="R9" t="s">
        <v>217</v>
      </c>
      <c r="S9" t="s">
        <v>325</v>
      </c>
    </row>
    <row r="10" spans="1:19" x14ac:dyDescent="0.25">
      <c r="C10" t="s">
        <v>313</v>
      </c>
      <c r="E10" s="1" t="s">
        <v>15</v>
      </c>
      <c r="H10" t="s">
        <v>288</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71</v>
      </c>
      <c r="G30" s="3" t="s">
        <v>331</v>
      </c>
      <c r="H30" s="3"/>
      <c r="I30" s="3"/>
      <c r="J30" s="3"/>
      <c r="K30" s="3"/>
      <c r="L30" s="3"/>
    </row>
    <row r="31" spans="1:23" x14ac:dyDescent="0.25">
      <c r="A31" s="2"/>
      <c r="B31" s="1" t="s">
        <v>309</v>
      </c>
      <c r="C31" t="s">
        <v>52</v>
      </c>
      <c r="F31" s="1" t="s">
        <v>276</v>
      </c>
      <c r="G31" s="3" t="s">
        <v>331</v>
      </c>
      <c r="H31" s="3"/>
      <c r="I31" s="3"/>
      <c r="J31" s="3"/>
      <c r="K31" s="3"/>
      <c r="L31" s="3"/>
    </row>
    <row r="32" spans="1:23" x14ac:dyDescent="0.25">
      <c r="A32" s="2"/>
      <c r="B32" s="1" t="s">
        <v>71</v>
      </c>
      <c r="C32" t="s">
        <v>52</v>
      </c>
      <c r="F32" s="1" t="s">
        <v>277</v>
      </c>
      <c r="G32" s="3" t="s">
        <v>331</v>
      </c>
      <c r="H32" s="3"/>
      <c r="I32" s="3"/>
      <c r="J32" s="3"/>
      <c r="K32" s="3"/>
      <c r="L32" s="3"/>
    </row>
    <row r="33" spans="1:7" x14ac:dyDescent="0.25">
      <c r="A33" s="2"/>
      <c r="B33" s="1" t="s">
        <v>276</v>
      </c>
      <c r="C33" t="s">
        <v>52</v>
      </c>
      <c r="F33" t="s">
        <v>312</v>
      </c>
      <c r="G33" s="3" t="s">
        <v>331</v>
      </c>
    </row>
    <row r="34" spans="1:7" x14ac:dyDescent="0.25">
      <c r="A34" s="2"/>
      <c r="B34" s="1" t="s">
        <v>277</v>
      </c>
      <c r="C34" t="s">
        <v>52</v>
      </c>
      <c r="F34" t="s">
        <v>313</v>
      </c>
      <c r="G34" s="3" t="s">
        <v>331</v>
      </c>
    </row>
    <row r="35" spans="1:7" x14ac:dyDescent="0.25">
      <c r="A35" s="2"/>
      <c r="B35" t="s">
        <v>312</v>
      </c>
      <c r="C35" t="s">
        <v>52</v>
      </c>
      <c r="F35" s="1" t="s">
        <v>87</v>
      </c>
      <c r="G35" s="3" t="s">
        <v>331</v>
      </c>
    </row>
    <row r="36" spans="1:7" x14ac:dyDescent="0.25">
      <c r="A36" s="2"/>
      <c r="B36" t="s">
        <v>313</v>
      </c>
      <c r="C36" t="s">
        <v>52</v>
      </c>
      <c r="F36" t="s">
        <v>29</v>
      </c>
      <c r="G36" s="3"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D7" sqref="D7"/>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1"/>
  <sheetViews>
    <sheetView tabSelected="1" workbookViewId="0">
      <pane ySplit="5" topLeftCell="A11" activePane="bottomLeft" state="frozen"/>
      <selection activeCell="C19" sqref="C19"/>
      <selection pane="bottomLeft" activeCell="T36" sqref="T3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127</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c r="E6" s="76">
        <v>104166.667</v>
      </c>
      <c r="F6" s="6" t="s">
        <v>58</v>
      </c>
      <c r="G6" s="25">
        <v>0.2</v>
      </c>
      <c r="H6" s="25" t="s">
        <v>361</v>
      </c>
      <c r="I6" s="26" t="s">
        <v>337</v>
      </c>
      <c r="J6" s="25"/>
      <c r="K6" s="6" t="s">
        <v>86</v>
      </c>
      <c r="L6" s="6" t="s">
        <v>337</v>
      </c>
      <c r="M6" s="6" t="s">
        <v>337</v>
      </c>
      <c r="N6" s="6"/>
      <c r="O6" s="6"/>
      <c r="P6" s="6" t="s">
        <v>337</v>
      </c>
      <c r="Q6" s="6" t="s">
        <v>337</v>
      </c>
      <c r="R6" s="6"/>
      <c r="S6" s="6"/>
      <c r="T6" s="6"/>
    </row>
    <row r="7" spans="1:20" x14ac:dyDescent="0.25">
      <c r="A7" s="6" t="s">
        <v>0</v>
      </c>
      <c r="B7" s="6" t="s">
        <v>37</v>
      </c>
      <c r="C7" s="6" t="s">
        <v>106</v>
      </c>
      <c r="D7" s="6"/>
      <c r="E7" s="12">
        <v>13380.119000000001</v>
      </c>
      <c r="F7" s="6" t="s">
        <v>58</v>
      </c>
      <c r="G7" s="25">
        <v>7.0000000000000007E-2</v>
      </c>
      <c r="H7" s="25"/>
      <c r="I7" s="26" t="s">
        <v>337</v>
      </c>
      <c r="J7" s="25"/>
      <c r="K7" s="6" t="s">
        <v>85</v>
      </c>
      <c r="L7" s="6" t="s">
        <v>337</v>
      </c>
      <c r="M7" s="6" t="s">
        <v>337</v>
      </c>
      <c r="N7" s="6"/>
      <c r="O7" s="6"/>
      <c r="P7" s="6" t="s">
        <v>337</v>
      </c>
      <c r="Q7" s="6" t="s">
        <v>337</v>
      </c>
      <c r="R7" s="6"/>
      <c r="S7" s="6"/>
      <c r="T7" s="6"/>
    </row>
    <row r="8" spans="1:20" x14ac:dyDescent="0.25">
      <c r="A8" s="6" t="s">
        <v>0</v>
      </c>
      <c r="B8" s="6" t="s">
        <v>37</v>
      </c>
      <c r="C8" s="6" t="s">
        <v>13</v>
      </c>
      <c r="D8" s="6"/>
      <c r="E8" s="76">
        <v>2542</v>
      </c>
      <c r="F8" s="6" t="s">
        <v>58</v>
      </c>
      <c r="G8" s="25"/>
      <c r="H8" s="25"/>
      <c r="I8" s="26" t="s">
        <v>337</v>
      </c>
      <c r="J8" s="25"/>
      <c r="K8" s="6" t="s">
        <v>85</v>
      </c>
      <c r="L8" s="6" t="s">
        <v>337</v>
      </c>
      <c r="M8" s="6" t="s">
        <v>337</v>
      </c>
      <c r="N8" s="6"/>
      <c r="O8" s="6"/>
      <c r="P8" s="6" t="s">
        <v>337</v>
      </c>
      <c r="Q8" s="6" t="s">
        <v>337</v>
      </c>
      <c r="R8" s="6"/>
      <c r="S8" s="6"/>
      <c r="T8" s="6"/>
    </row>
    <row r="9" spans="1:20" x14ac:dyDescent="0.25">
      <c r="A9" s="6" t="s">
        <v>0</v>
      </c>
      <c r="B9" s="6" t="s">
        <v>37</v>
      </c>
      <c r="C9" s="6" t="s">
        <v>13</v>
      </c>
      <c r="D9" s="6" t="s">
        <v>337</v>
      </c>
      <c r="E9" s="12">
        <v>2750.3150000000005</v>
      </c>
      <c r="F9" s="6" t="s">
        <v>58</v>
      </c>
      <c r="G9" s="25"/>
      <c r="H9" s="25"/>
      <c r="I9" s="26" t="s">
        <v>337</v>
      </c>
      <c r="J9" s="25"/>
      <c r="K9" s="6" t="s">
        <v>86</v>
      </c>
      <c r="L9" s="6" t="s">
        <v>337</v>
      </c>
      <c r="M9" s="6" t="s">
        <v>337</v>
      </c>
      <c r="N9" s="6"/>
      <c r="O9" s="6"/>
      <c r="P9" s="6" t="s">
        <v>337</v>
      </c>
      <c r="Q9" s="6" t="s">
        <v>337</v>
      </c>
      <c r="R9" s="6"/>
      <c r="S9" s="6"/>
      <c r="T9" s="6"/>
    </row>
    <row r="10" spans="1:20" x14ac:dyDescent="0.25">
      <c r="A10" s="6" t="s">
        <v>0</v>
      </c>
      <c r="B10" s="6" t="s">
        <v>37</v>
      </c>
      <c r="C10" s="6" t="s">
        <v>26</v>
      </c>
      <c r="D10" s="6"/>
      <c r="E10" s="76">
        <v>7499.9999999999991</v>
      </c>
      <c r="F10" s="6" t="s">
        <v>58</v>
      </c>
      <c r="G10" s="25"/>
      <c r="H10" s="25"/>
      <c r="I10" s="26" t="s">
        <v>337</v>
      </c>
      <c r="J10" s="25"/>
      <c r="K10" s="6" t="s">
        <v>86</v>
      </c>
      <c r="L10" s="6" t="s">
        <v>337</v>
      </c>
      <c r="M10" s="6" t="s">
        <v>337</v>
      </c>
      <c r="N10" s="6"/>
      <c r="O10" s="6"/>
      <c r="P10" s="6" t="s">
        <v>337</v>
      </c>
      <c r="Q10" s="6" t="s">
        <v>337</v>
      </c>
      <c r="R10" s="6"/>
      <c r="S10" s="6"/>
      <c r="T10" s="6"/>
    </row>
    <row r="11" spans="1:20" x14ac:dyDescent="0.25">
      <c r="A11" s="6" t="s">
        <v>0</v>
      </c>
      <c r="B11" s="6" t="s">
        <v>245</v>
      </c>
      <c r="C11" s="6" t="s">
        <v>228</v>
      </c>
      <c r="D11" s="6" t="s">
        <v>337</v>
      </c>
      <c r="E11" s="12">
        <f>E10*12/106*44/12</f>
        <v>3113.2075471698113</v>
      </c>
      <c r="F11" s="6" t="s">
        <v>58</v>
      </c>
      <c r="G11" s="25"/>
      <c r="H11" s="25"/>
      <c r="I11" s="26" t="s">
        <v>337</v>
      </c>
      <c r="J11" s="25"/>
      <c r="K11" s="6" t="s">
        <v>86</v>
      </c>
      <c r="L11" s="6" t="s">
        <v>337</v>
      </c>
      <c r="M11" s="6" t="s">
        <v>337</v>
      </c>
      <c r="N11" s="6"/>
      <c r="O11" s="6"/>
      <c r="P11" s="6" t="s">
        <v>337</v>
      </c>
      <c r="Q11" s="6" t="s">
        <v>337</v>
      </c>
      <c r="R11" s="6"/>
      <c r="S11" s="6"/>
      <c r="T11" s="6" t="s">
        <v>365</v>
      </c>
    </row>
    <row r="12" spans="1:20" x14ac:dyDescent="0.25">
      <c r="A12" s="6" t="s">
        <v>0</v>
      </c>
      <c r="B12" s="6" t="s">
        <v>37</v>
      </c>
      <c r="C12" s="6" t="s">
        <v>14</v>
      </c>
      <c r="D12" s="6" t="s">
        <v>337</v>
      </c>
      <c r="E12" s="79">
        <v>64</v>
      </c>
      <c r="F12" s="6" t="s">
        <v>58</v>
      </c>
      <c r="G12" s="25"/>
      <c r="H12" s="25"/>
      <c r="I12" s="26" t="s">
        <v>337</v>
      </c>
      <c r="J12" s="25"/>
      <c r="K12" s="6" t="s">
        <v>113</v>
      </c>
      <c r="L12" s="6" t="s">
        <v>337</v>
      </c>
      <c r="M12" s="6" t="s">
        <v>337</v>
      </c>
      <c r="N12" s="6"/>
      <c r="O12" s="6"/>
      <c r="P12" s="6" t="s">
        <v>337</v>
      </c>
      <c r="Q12" s="6" t="s">
        <v>337</v>
      </c>
      <c r="R12" s="6"/>
      <c r="S12" s="6"/>
      <c r="T12" s="6"/>
    </row>
    <row r="13" spans="1:20" x14ac:dyDescent="0.25">
      <c r="A13" s="6" t="s">
        <v>0</v>
      </c>
      <c r="B13" s="6" t="s">
        <v>37</v>
      </c>
      <c r="C13" s="6" t="s">
        <v>14</v>
      </c>
      <c r="D13" s="6" t="s">
        <v>337</v>
      </c>
      <c r="E13" s="79">
        <v>17</v>
      </c>
      <c r="F13" s="6" t="s">
        <v>58</v>
      </c>
      <c r="G13" s="25"/>
      <c r="H13" s="25"/>
      <c r="I13" s="26" t="s">
        <v>337</v>
      </c>
      <c r="J13" s="25"/>
      <c r="K13" s="6" t="s">
        <v>85</v>
      </c>
      <c r="L13" s="6" t="s">
        <v>337</v>
      </c>
      <c r="M13" s="6" t="s">
        <v>337</v>
      </c>
      <c r="N13" s="6"/>
      <c r="O13" s="6"/>
      <c r="P13" s="6" t="s">
        <v>337</v>
      </c>
      <c r="Q13" s="6" t="s">
        <v>337</v>
      </c>
      <c r="R13" s="6"/>
      <c r="S13" s="6"/>
      <c r="T13" s="6"/>
    </row>
    <row r="14" spans="1:20" x14ac:dyDescent="0.25">
      <c r="A14" s="6" t="s">
        <v>0</v>
      </c>
      <c r="B14" s="6" t="s">
        <v>37</v>
      </c>
      <c r="C14" s="6" t="s">
        <v>14</v>
      </c>
      <c r="D14" s="6" t="s">
        <v>337</v>
      </c>
      <c r="E14" s="79">
        <v>2127.6018347872441</v>
      </c>
      <c r="F14" s="6" t="s">
        <v>58</v>
      </c>
      <c r="G14" s="25"/>
      <c r="H14" s="25"/>
      <c r="I14" s="26" t="s">
        <v>337</v>
      </c>
      <c r="J14" s="25"/>
      <c r="K14" s="6" t="s">
        <v>86</v>
      </c>
      <c r="L14" s="6" t="s">
        <v>337</v>
      </c>
      <c r="M14" s="6" t="s">
        <v>337</v>
      </c>
      <c r="N14" s="6"/>
      <c r="O14" s="6"/>
      <c r="P14" s="6" t="s">
        <v>337</v>
      </c>
      <c r="Q14" s="6" t="s">
        <v>337</v>
      </c>
      <c r="R14" s="6"/>
      <c r="S14" s="6"/>
      <c r="T14" s="6"/>
    </row>
    <row r="15" spans="1:20" x14ac:dyDescent="0.25">
      <c r="A15" s="6" t="s">
        <v>0</v>
      </c>
      <c r="B15" s="6" t="s">
        <v>37</v>
      </c>
      <c r="C15" s="6" t="s">
        <v>19</v>
      </c>
      <c r="D15" s="6" t="s">
        <v>337</v>
      </c>
      <c r="E15" s="79">
        <v>1335.9596300000001</v>
      </c>
      <c r="F15" s="6" t="s">
        <v>58</v>
      </c>
      <c r="G15" s="25"/>
      <c r="H15" s="25"/>
      <c r="I15" s="26" t="s">
        <v>337</v>
      </c>
      <c r="J15" s="25"/>
      <c r="K15" s="6" t="s">
        <v>113</v>
      </c>
      <c r="L15" s="6" t="s">
        <v>337</v>
      </c>
      <c r="M15" s="6" t="s">
        <v>337</v>
      </c>
      <c r="N15" s="6"/>
      <c r="O15" s="6"/>
      <c r="P15" s="6" t="s">
        <v>337</v>
      </c>
      <c r="Q15" s="6" t="s">
        <v>337</v>
      </c>
      <c r="R15" s="6"/>
      <c r="S15" s="6"/>
      <c r="T15" s="6"/>
    </row>
    <row r="16" spans="1:20" x14ac:dyDescent="0.25">
      <c r="A16" s="6" t="s">
        <v>0</v>
      </c>
      <c r="B16" s="6" t="s">
        <v>37</v>
      </c>
      <c r="C16" s="6" t="s">
        <v>15</v>
      </c>
      <c r="D16" s="6" t="s">
        <v>337</v>
      </c>
      <c r="E16" s="79">
        <v>1275.8015763000001</v>
      </c>
      <c r="F16" s="6" t="s">
        <v>58</v>
      </c>
      <c r="G16" s="25"/>
      <c r="H16" s="25"/>
      <c r="I16" s="26" t="s">
        <v>337</v>
      </c>
      <c r="J16" s="25"/>
      <c r="K16" s="6" t="s">
        <v>113</v>
      </c>
      <c r="L16" s="6" t="s">
        <v>337</v>
      </c>
      <c r="M16" s="6" t="s">
        <v>337</v>
      </c>
      <c r="N16" s="6"/>
      <c r="O16" s="6"/>
      <c r="P16" s="6" t="s">
        <v>337</v>
      </c>
      <c r="Q16" s="6" t="s">
        <v>337</v>
      </c>
      <c r="R16" s="6"/>
      <c r="S16" s="6"/>
      <c r="T16" s="6"/>
    </row>
    <row r="17" spans="1:20" x14ac:dyDescent="0.25">
      <c r="A17" s="6" t="s">
        <v>0</v>
      </c>
      <c r="B17" s="6" t="s">
        <v>37</v>
      </c>
      <c r="C17" s="6" t="s">
        <v>17</v>
      </c>
      <c r="D17" s="6" t="s">
        <v>337</v>
      </c>
      <c r="E17" s="79">
        <v>7.3804090899999997</v>
      </c>
      <c r="F17" s="6" t="s">
        <v>58</v>
      </c>
      <c r="G17" s="25"/>
      <c r="H17" s="25"/>
      <c r="I17" s="26" t="s">
        <v>337</v>
      </c>
      <c r="J17" s="25"/>
      <c r="K17" s="6" t="s">
        <v>113</v>
      </c>
      <c r="L17" s="6" t="s">
        <v>337</v>
      </c>
      <c r="M17" s="6" t="s">
        <v>337</v>
      </c>
      <c r="N17" s="6"/>
      <c r="O17" s="6"/>
      <c r="P17" s="6" t="s">
        <v>337</v>
      </c>
      <c r="Q17" s="6" t="s">
        <v>337</v>
      </c>
      <c r="R17" s="6"/>
      <c r="S17" s="6"/>
      <c r="T17" s="6"/>
    </row>
    <row r="18" spans="1:20" x14ac:dyDescent="0.25">
      <c r="A18" s="6" t="s">
        <v>0</v>
      </c>
      <c r="B18" s="6" t="s">
        <v>37</v>
      </c>
      <c r="C18" s="6" t="s">
        <v>20</v>
      </c>
      <c r="D18" s="6" t="s">
        <v>337</v>
      </c>
      <c r="E18" s="79">
        <v>37.2129835</v>
      </c>
      <c r="F18" s="6" t="s">
        <v>58</v>
      </c>
      <c r="G18" s="25"/>
      <c r="H18" s="25"/>
      <c r="I18" s="26" t="s">
        <v>337</v>
      </c>
      <c r="J18" s="25"/>
      <c r="K18" s="6" t="s">
        <v>113</v>
      </c>
      <c r="L18" s="6" t="s">
        <v>337</v>
      </c>
      <c r="M18" s="6" t="s">
        <v>337</v>
      </c>
      <c r="N18" s="6"/>
      <c r="O18" s="6"/>
      <c r="P18" s="6" t="s">
        <v>337</v>
      </c>
      <c r="Q18" s="6" t="s">
        <v>337</v>
      </c>
      <c r="R18" s="6"/>
      <c r="S18" s="6"/>
      <c r="T18" s="6"/>
    </row>
    <row r="19" spans="1:20" x14ac:dyDescent="0.25">
      <c r="A19" s="6" t="s">
        <v>0</v>
      </c>
      <c r="B19" s="6" t="s">
        <v>37</v>
      </c>
      <c r="C19" s="6" t="s">
        <v>21</v>
      </c>
      <c r="D19" s="6" t="s">
        <v>337</v>
      </c>
      <c r="E19" s="79">
        <v>9.0697912299999999</v>
      </c>
      <c r="F19" s="6" t="s">
        <v>58</v>
      </c>
      <c r="G19" s="25"/>
      <c r="H19" s="25"/>
      <c r="I19" s="26" t="s">
        <v>337</v>
      </c>
      <c r="J19" s="25"/>
      <c r="K19" s="6" t="s">
        <v>113</v>
      </c>
      <c r="L19" s="6" t="s">
        <v>337</v>
      </c>
      <c r="M19" s="6" t="s">
        <v>337</v>
      </c>
      <c r="N19" s="6"/>
      <c r="O19" s="6"/>
      <c r="P19" s="6" t="s">
        <v>337</v>
      </c>
      <c r="Q19" s="6" t="s">
        <v>337</v>
      </c>
      <c r="R19" s="6"/>
      <c r="S19" s="6"/>
      <c r="T19" s="6"/>
    </row>
    <row r="20" spans="1:20" x14ac:dyDescent="0.25">
      <c r="A20" s="6" t="s">
        <v>0</v>
      </c>
      <c r="B20" s="6" t="s">
        <v>37</v>
      </c>
      <c r="C20" s="6" t="s">
        <v>16</v>
      </c>
      <c r="D20" s="6" t="s">
        <v>337</v>
      </c>
      <c r="E20" s="79">
        <v>176.98179099711001</v>
      </c>
      <c r="F20" s="6" t="s">
        <v>58</v>
      </c>
      <c r="G20" s="25"/>
      <c r="H20" s="25"/>
      <c r="I20" s="26" t="s">
        <v>337</v>
      </c>
      <c r="J20" s="25"/>
      <c r="K20" s="6" t="s">
        <v>113</v>
      </c>
      <c r="L20" s="6" t="s">
        <v>337</v>
      </c>
      <c r="M20" s="6" t="s">
        <v>337</v>
      </c>
      <c r="N20" s="6"/>
      <c r="O20" s="6"/>
      <c r="P20" s="6" t="s">
        <v>337</v>
      </c>
      <c r="Q20" s="6" t="s">
        <v>337</v>
      </c>
      <c r="R20" s="6"/>
      <c r="S20" s="6"/>
      <c r="T20" s="6"/>
    </row>
    <row r="21" spans="1:20" x14ac:dyDescent="0.25">
      <c r="A21" s="6" t="s">
        <v>0</v>
      </c>
      <c r="B21" s="6" t="s">
        <v>37</v>
      </c>
      <c r="C21" s="6" t="s">
        <v>18</v>
      </c>
      <c r="D21" s="6" t="s">
        <v>337</v>
      </c>
      <c r="E21" s="79">
        <v>418.10850199999999</v>
      </c>
      <c r="F21" s="6" t="s">
        <v>58</v>
      </c>
      <c r="G21" s="25"/>
      <c r="H21" s="25"/>
      <c r="I21" s="26" t="s">
        <v>337</v>
      </c>
      <c r="J21" s="25"/>
      <c r="K21" s="6" t="s">
        <v>113</v>
      </c>
      <c r="L21" s="6" t="s">
        <v>337</v>
      </c>
      <c r="M21" s="6" t="s">
        <v>337</v>
      </c>
      <c r="N21" s="6"/>
      <c r="O21" s="6"/>
      <c r="P21" s="6" t="s">
        <v>337</v>
      </c>
      <c r="Q21" s="6" t="s">
        <v>337</v>
      </c>
      <c r="R21" s="6"/>
      <c r="S21" s="6"/>
      <c r="T21" s="6"/>
    </row>
    <row r="22" spans="1:20" x14ac:dyDescent="0.25">
      <c r="A22" s="6" t="s">
        <v>0</v>
      </c>
      <c r="B22" s="6" t="s">
        <v>37</v>
      </c>
      <c r="C22" s="6" t="s">
        <v>50</v>
      </c>
      <c r="D22" s="6"/>
      <c r="E22" s="79">
        <v>90</v>
      </c>
      <c r="F22" s="6" t="s">
        <v>58</v>
      </c>
      <c r="G22" s="25"/>
      <c r="H22" s="25"/>
      <c r="I22" s="26" t="s">
        <v>337</v>
      </c>
      <c r="J22" s="25"/>
      <c r="K22" s="6" t="s">
        <v>113</v>
      </c>
      <c r="L22" s="6" t="s">
        <v>337</v>
      </c>
      <c r="M22" s="6" t="s">
        <v>337</v>
      </c>
      <c r="N22" s="6"/>
      <c r="O22" s="6"/>
      <c r="P22" s="6" t="s">
        <v>337</v>
      </c>
      <c r="Q22" s="6" t="s">
        <v>337</v>
      </c>
      <c r="R22" s="6"/>
      <c r="S22" s="6"/>
      <c r="T22" s="6"/>
    </row>
    <row r="23" spans="1:20" x14ac:dyDescent="0.25">
      <c r="A23" s="6" t="s">
        <v>0</v>
      </c>
      <c r="B23" s="6" t="s">
        <v>245</v>
      </c>
      <c r="C23" s="6" t="s">
        <v>228</v>
      </c>
      <c r="D23" s="6" t="s">
        <v>337</v>
      </c>
      <c r="E23" s="79">
        <f>12*7/(12*7+8*1)*44/12*E22</f>
        <v>301.30434782608694</v>
      </c>
      <c r="F23" s="6" t="s">
        <v>58</v>
      </c>
      <c r="G23" s="25"/>
      <c r="H23" s="25"/>
      <c r="I23" s="26" t="s">
        <v>337</v>
      </c>
      <c r="J23" s="25"/>
      <c r="K23" s="6" t="s">
        <v>113</v>
      </c>
      <c r="L23" s="6" t="s">
        <v>337</v>
      </c>
      <c r="M23" s="6" t="s">
        <v>337</v>
      </c>
      <c r="N23" s="6"/>
      <c r="O23" s="6"/>
      <c r="P23" s="6" t="s">
        <v>337</v>
      </c>
      <c r="Q23" s="6" t="s">
        <v>337</v>
      </c>
      <c r="R23" s="6"/>
      <c r="S23" s="6"/>
      <c r="T23" s="6" t="s">
        <v>366</v>
      </c>
    </row>
    <row r="24" spans="1:20" x14ac:dyDescent="0.25">
      <c r="A24" s="6" t="s">
        <v>0</v>
      </c>
      <c r="B24" s="6" t="s">
        <v>37</v>
      </c>
      <c r="C24" s="6" t="s">
        <v>36</v>
      </c>
      <c r="D24" s="6" t="s">
        <v>337</v>
      </c>
      <c r="E24" s="79">
        <v>0.30969945799999998</v>
      </c>
      <c r="F24" s="6" t="s">
        <v>58</v>
      </c>
      <c r="G24" s="25"/>
      <c r="H24" s="25"/>
      <c r="I24" s="26" t="s">
        <v>337</v>
      </c>
      <c r="J24" s="25"/>
      <c r="K24" s="6" t="s">
        <v>86</v>
      </c>
      <c r="L24" s="6" t="s">
        <v>337</v>
      </c>
      <c r="M24" s="6" t="s">
        <v>337</v>
      </c>
      <c r="N24" s="6"/>
      <c r="O24" s="6"/>
      <c r="P24" s="6" t="s">
        <v>337</v>
      </c>
      <c r="Q24" s="6" t="s">
        <v>337</v>
      </c>
      <c r="R24" s="6"/>
      <c r="S24" s="6"/>
      <c r="T24" s="6"/>
    </row>
    <row r="25" spans="1:20" x14ac:dyDescent="0.25">
      <c r="A25" s="6" t="s">
        <v>0</v>
      </c>
      <c r="B25" s="6" t="s">
        <v>37</v>
      </c>
      <c r="C25" s="6" t="s">
        <v>23</v>
      </c>
      <c r="D25" s="6" t="s">
        <v>337</v>
      </c>
      <c r="E25" s="12">
        <v>191.347026</v>
      </c>
      <c r="F25" s="6" t="s">
        <v>58</v>
      </c>
      <c r="G25" s="25"/>
      <c r="H25" s="25"/>
      <c r="I25" s="26" t="s">
        <v>337</v>
      </c>
      <c r="J25" s="25"/>
      <c r="K25" s="6" t="s">
        <v>86</v>
      </c>
      <c r="L25" s="6" t="s">
        <v>337</v>
      </c>
      <c r="M25" s="6" t="s">
        <v>337</v>
      </c>
      <c r="N25" s="6"/>
      <c r="O25" s="6"/>
      <c r="P25" s="6" t="s">
        <v>337</v>
      </c>
      <c r="Q25" s="6" t="s">
        <v>337</v>
      </c>
      <c r="R25" s="6"/>
      <c r="S25" s="6"/>
      <c r="T25" s="6"/>
    </row>
    <row r="26" spans="1:20" x14ac:dyDescent="0.25">
      <c r="A26" s="6" t="s">
        <v>0</v>
      </c>
      <c r="B26" s="6" t="s">
        <v>37</v>
      </c>
      <c r="C26" s="6" t="s">
        <v>25</v>
      </c>
      <c r="D26" s="6" t="s">
        <v>337</v>
      </c>
      <c r="E26" s="76">
        <v>1.26816185</v>
      </c>
      <c r="F26" s="6" t="s">
        <v>58</v>
      </c>
      <c r="G26" s="25"/>
      <c r="H26" s="25"/>
      <c r="I26" s="26" t="s">
        <v>337</v>
      </c>
      <c r="J26" s="25"/>
      <c r="K26" s="6" t="s">
        <v>86</v>
      </c>
      <c r="L26" s="6" t="s">
        <v>337</v>
      </c>
      <c r="M26" s="6" t="s">
        <v>337</v>
      </c>
      <c r="N26" s="6"/>
      <c r="O26" s="6"/>
      <c r="P26" s="6" t="s">
        <v>337</v>
      </c>
      <c r="Q26" s="6" t="s">
        <v>337</v>
      </c>
      <c r="R26" s="6"/>
      <c r="S26" s="6"/>
      <c r="T26" s="6"/>
    </row>
    <row r="27" spans="1:20" x14ac:dyDescent="0.25">
      <c r="A27" s="6" t="s">
        <v>0</v>
      </c>
      <c r="B27" s="6" t="s">
        <v>29</v>
      </c>
      <c r="C27" s="6" t="s">
        <v>29</v>
      </c>
      <c r="D27" s="6" t="s">
        <v>337</v>
      </c>
      <c r="E27" s="12">
        <v>254541.07399999999</v>
      </c>
      <c r="F27" s="6" t="s">
        <v>58</v>
      </c>
      <c r="G27" s="25"/>
      <c r="H27" s="25"/>
      <c r="I27" s="26" t="s">
        <v>337</v>
      </c>
      <c r="J27" s="25"/>
      <c r="K27" s="6" t="s">
        <v>86</v>
      </c>
      <c r="L27" s="6" t="s">
        <v>337</v>
      </c>
      <c r="M27" s="6" t="s">
        <v>337</v>
      </c>
      <c r="N27" s="6"/>
      <c r="O27" s="6"/>
      <c r="P27" s="6" t="s">
        <v>337</v>
      </c>
      <c r="Q27" s="6" t="s">
        <v>337</v>
      </c>
      <c r="R27" s="6"/>
      <c r="S27" s="6"/>
      <c r="T27" s="6"/>
    </row>
    <row r="28" spans="1:20" x14ac:dyDescent="0.25">
      <c r="A28" s="6" t="s">
        <v>0</v>
      </c>
      <c r="B28" s="6" t="s">
        <v>244</v>
      </c>
      <c r="C28" s="6" t="s">
        <v>24</v>
      </c>
      <c r="D28" s="6" t="s">
        <v>31</v>
      </c>
      <c r="E28" s="76">
        <v>400</v>
      </c>
      <c r="F28" s="6" t="s">
        <v>58</v>
      </c>
      <c r="G28" s="25"/>
      <c r="H28" s="25"/>
      <c r="I28" s="26" t="s">
        <v>337</v>
      </c>
      <c r="J28" s="25"/>
      <c r="K28" s="6" t="s">
        <v>86</v>
      </c>
      <c r="L28" s="6" t="s">
        <v>337</v>
      </c>
      <c r="M28" s="6" t="s">
        <v>337</v>
      </c>
      <c r="N28" s="6"/>
      <c r="O28" s="6"/>
      <c r="P28" s="6" t="s">
        <v>337</v>
      </c>
      <c r="Q28" s="6" t="s">
        <v>337</v>
      </c>
      <c r="R28" s="6"/>
      <c r="S28" s="6"/>
      <c r="T28" s="6"/>
    </row>
    <row r="29" spans="1:20" x14ac:dyDescent="0.25">
      <c r="A29" s="6" t="s">
        <v>0</v>
      </c>
      <c r="B29" s="6" t="s">
        <v>3</v>
      </c>
      <c r="C29" s="6" t="s">
        <v>3</v>
      </c>
      <c r="D29" s="6" t="s">
        <v>10</v>
      </c>
      <c r="E29" s="12">
        <v>22886</v>
      </c>
      <c r="F29" s="6" t="s">
        <v>68</v>
      </c>
      <c r="G29" s="25"/>
      <c r="H29" s="25"/>
      <c r="I29" s="26" t="s">
        <v>337</v>
      </c>
      <c r="J29" s="25"/>
      <c r="K29" s="6" t="s">
        <v>113</v>
      </c>
      <c r="L29" s="6" t="s">
        <v>337</v>
      </c>
      <c r="M29" s="6" t="s">
        <v>337</v>
      </c>
      <c r="N29" s="6"/>
      <c r="O29" s="6"/>
      <c r="P29" s="6" t="s">
        <v>337</v>
      </c>
      <c r="Q29" s="6" t="s">
        <v>337</v>
      </c>
      <c r="R29" s="6"/>
      <c r="S29" s="6"/>
      <c r="T29" s="6"/>
    </row>
    <row r="30" spans="1:20" x14ac:dyDescent="0.25">
      <c r="A30" s="6" t="s">
        <v>0</v>
      </c>
      <c r="B30" s="6" t="s">
        <v>3</v>
      </c>
      <c r="C30" s="6" t="s">
        <v>3</v>
      </c>
      <c r="D30" s="6" t="s">
        <v>10</v>
      </c>
      <c r="E30" s="12">
        <v>4350</v>
      </c>
      <c r="F30" s="6" t="s">
        <v>68</v>
      </c>
      <c r="G30" s="25"/>
      <c r="H30" s="25"/>
      <c r="I30" s="26" t="s">
        <v>337</v>
      </c>
      <c r="J30" s="25"/>
      <c r="K30" s="6" t="s">
        <v>85</v>
      </c>
      <c r="L30" s="6" t="s">
        <v>337</v>
      </c>
      <c r="M30" s="6" t="s">
        <v>337</v>
      </c>
      <c r="N30" s="6"/>
      <c r="O30" s="6"/>
      <c r="P30" s="6" t="s">
        <v>337</v>
      </c>
      <c r="Q30" s="6" t="s">
        <v>337</v>
      </c>
      <c r="R30" s="6"/>
      <c r="S30" s="6"/>
      <c r="T30" s="6"/>
    </row>
    <row r="31" spans="1:20" x14ac:dyDescent="0.25">
      <c r="A31" s="6" t="s">
        <v>0</v>
      </c>
      <c r="B31" s="6" t="s">
        <v>3</v>
      </c>
      <c r="C31" s="6" t="s">
        <v>3</v>
      </c>
      <c r="D31" s="6" t="s">
        <v>10</v>
      </c>
      <c r="E31" s="12">
        <v>30891.165596999999</v>
      </c>
      <c r="F31" s="6" t="s">
        <v>68</v>
      </c>
      <c r="G31" s="25"/>
      <c r="H31" s="25"/>
      <c r="I31" s="26" t="s">
        <v>337</v>
      </c>
      <c r="J31" s="25"/>
      <c r="K31" s="6" t="s">
        <v>86</v>
      </c>
      <c r="L31" s="6" t="s">
        <v>337</v>
      </c>
      <c r="M31" s="6" t="s">
        <v>337</v>
      </c>
      <c r="N31" s="6"/>
      <c r="O31" s="6"/>
      <c r="P31" s="6" t="s">
        <v>337</v>
      </c>
      <c r="Q31" s="6" t="s">
        <v>337</v>
      </c>
      <c r="R31" s="6"/>
      <c r="S31" s="6"/>
      <c r="T31" s="6"/>
    </row>
    <row r="32" spans="1:20" x14ac:dyDescent="0.25">
      <c r="A32" s="6" t="s">
        <v>0</v>
      </c>
      <c r="B32" s="6" t="s">
        <v>244</v>
      </c>
      <c r="C32" s="6" t="s">
        <v>24</v>
      </c>
      <c r="D32" s="6" t="s">
        <v>31</v>
      </c>
      <c r="E32" s="12">
        <v>39.267698471152897</v>
      </c>
      <c r="F32" s="6" t="s">
        <v>70</v>
      </c>
      <c r="G32" s="25"/>
      <c r="H32" s="25"/>
      <c r="I32" s="26" t="s">
        <v>337</v>
      </c>
      <c r="J32" s="25"/>
      <c r="K32" s="6" t="s">
        <v>113</v>
      </c>
      <c r="L32" s="6" t="s">
        <v>337</v>
      </c>
      <c r="M32" s="6" t="s">
        <v>337</v>
      </c>
      <c r="N32" s="6"/>
      <c r="O32" s="6"/>
      <c r="P32" s="6" t="s">
        <v>337</v>
      </c>
      <c r="Q32" s="6" t="s">
        <v>337</v>
      </c>
      <c r="R32" s="6"/>
      <c r="S32" s="6"/>
      <c r="T32" s="6"/>
    </row>
    <row r="33" spans="1:20" x14ac:dyDescent="0.25">
      <c r="A33" s="6" t="s">
        <v>113</v>
      </c>
      <c r="B33" s="6" t="s">
        <v>244</v>
      </c>
      <c r="C33" s="6" t="s">
        <v>277</v>
      </c>
      <c r="D33" s="6"/>
      <c r="E33" s="12">
        <v>425.82504310907996</v>
      </c>
      <c r="F33" s="6" t="s">
        <v>70</v>
      </c>
      <c r="G33" s="25"/>
      <c r="H33" s="25"/>
      <c r="I33" s="26" t="s">
        <v>337</v>
      </c>
      <c r="J33" s="25"/>
      <c r="K33" s="6" t="s">
        <v>113</v>
      </c>
      <c r="L33" s="6" t="s">
        <v>337</v>
      </c>
      <c r="M33" s="6" t="s">
        <v>337</v>
      </c>
      <c r="N33" s="6">
        <v>21.535015935911794</v>
      </c>
      <c r="O33" s="6" t="s">
        <v>362</v>
      </c>
      <c r="P33" s="6" t="s">
        <v>2</v>
      </c>
      <c r="Q33" s="6" t="s">
        <v>83</v>
      </c>
      <c r="R33" s="6"/>
      <c r="S33" s="6"/>
      <c r="T33" s="6"/>
    </row>
    <row r="34" spans="1:20" x14ac:dyDescent="0.25">
      <c r="A34" s="6" t="s">
        <v>85</v>
      </c>
      <c r="B34" s="6" t="s">
        <v>37</v>
      </c>
      <c r="C34" s="6" t="s">
        <v>51</v>
      </c>
      <c r="D34" s="6"/>
      <c r="E34" s="12">
        <v>2673.5836599999998</v>
      </c>
      <c r="F34" s="6" t="s">
        <v>58</v>
      </c>
      <c r="G34" s="25"/>
      <c r="H34" s="25"/>
      <c r="I34" s="26" t="s">
        <v>114</v>
      </c>
      <c r="J34" s="25"/>
      <c r="K34" s="6" t="s">
        <v>85</v>
      </c>
      <c r="L34" s="6" t="s">
        <v>337</v>
      </c>
      <c r="M34" s="6" t="s">
        <v>337</v>
      </c>
      <c r="N34" s="6">
        <v>1.8739390198196608</v>
      </c>
      <c r="O34" s="6" t="s">
        <v>363</v>
      </c>
      <c r="P34" s="6" t="s">
        <v>278</v>
      </c>
      <c r="Q34" s="6"/>
      <c r="R34" s="6"/>
      <c r="S34" s="6"/>
      <c r="T34" s="6"/>
    </row>
    <row r="35" spans="1:20" x14ac:dyDescent="0.25">
      <c r="A35" s="88" t="s">
        <v>0</v>
      </c>
      <c r="B35" s="88" t="s">
        <v>245</v>
      </c>
      <c r="C35" s="88" t="s">
        <v>229</v>
      </c>
      <c r="D35" s="89"/>
      <c r="E35" s="12">
        <f>12*6/(12*6+8*1+5*16)*44/12*E34</f>
        <v>4411.413039</v>
      </c>
      <c r="F35" s="89" t="str">
        <f>F34</f>
        <v>kg</v>
      </c>
      <c r="G35" s="90"/>
      <c r="H35" s="90"/>
      <c r="I35" s="26"/>
      <c r="J35" s="25"/>
      <c r="K35" s="88" t="str">
        <f>K34</f>
        <v>Co-product</v>
      </c>
      <c r="L35" s="89"/>
      <c r="M35" s="89"/>
      <c r="N35" s="88"/>
      <c r="O35" s="88"/>
      <c r="P35" s="89"/>
      <c r="Q35" s="89"/>
      <c r="R35" s="6"/>
      <c r="S35" s="88"/>
      <c r="T35" s="88" t="s">
        <v>367</v>
      </c>
    </row>
    <row r="36" spans="1:20" x14ac:dyDescent="0.25">
      <c r="A36" s="6" t="s">
        <v>85</v>
      </c>
      <c r="B36" s="6" t="s">
        <v>37</v>
      </c>
      <c r="C36" s="6" t="s">
        <v>280</v>
      </c>
      <c r="D36" s="6" t="s">
        <v>337</v>
      </c>
      <c r="E36" s="12">
        <v>17429.7837</v>
      </c>
      <c r="F36" s="6" t="s">
        <v>58</v>
      </c>
      <c r="G36" s="25"/>
      <c r="H36" s="25"/>
      <c r="I36" s="26" t="s">
        <v>124</v>
      </c>
      <c r="J36" s="25"/>
      <c r="K36" s="6" t="s">
        <v>86</v>
      </c>
      <c r="L36" s="6" t="s">
        <v>337</v>
      </c>
      <c r="M36" s="6" t="s">
        <v>337</v>
      </c>
      <c r="N36" s="6"/>
      <c r="O36" s="6"/>
      <c r="P36" s="6" t="s">
        <v>280</v>
      </c>
      <c r="Q36" s="6" t="s">
        <v>337</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Payload'!$A$10:$A$40,'SI - Payload'!$B$10:$B$40,"",0),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Payload'!$A$10:$A$40,'SI - Payload'!$B$10:$B$40,"",0),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Payload'!$A$10:$A$40,'SI - Payload'!$B$10:$B$40,"",0),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Payload'!$A$10:$A$40,'SI - Payload'!$B$10:$B$40,"",0),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Payload'!$A$10:$A$40,'SI - Payload'!$B$10:$B$40,"",0),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Payload'!$A$10:$A$40,'SI - Payload'!$B$10:$B$40,"",0),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Payload'!$A$10:$A$40,'SI - Payload'!$B$10:$B$40,"",0),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Payload'!$A$10:$A$40,'SI - Payload'!$B$10:$B$40,"",0),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Payload'!$A$10:$A$40,'SI - Payload'!$B$10:$B$40,"",0),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Payload'!$A$10:$A$40,'SI - Payload'!$B$10:$B$40,"",0),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Payload'!$A$10:$A$40,'SI - Payload'!$B$10:$B$40,"",0),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Payload'!$A$10:$A$40,'SI - Payload'!$B$10:$B$40,"",0),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Payload'!$A$10:$A$40,'SI - Payload'!$B$10:$B$40,"",0),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Payload'!$A$10:$A$40,'SI - Payload'!$B$10:$B$40,"",0),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Payload'!$A$10:$A$40,'SI - Payload'!$B$10:$B$40,"",0),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Payload'!$A$10:$A$40,'SI - Payload'!$B$10:$B$40,"",0),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Payload'!$A$10:$A$40,'SI - Payload'!$B$10:$B$40,"",0),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Payload'!$A$10:$A$40,'SI - Payload'!$B$10:$B$40,"",0),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Payload'!$A$10:$A$40,'SI - Payload'!$B$10:$B$40,"",0),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Payload'!$A$10:$A$40,'SI - Payload'!$B$10:$B$40,"",0),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Payload'!$A$10:$A$40,'SI - Payload'!$B$10:$B$40,"",0),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Payload'!$A$10:$A$40,'SI - Payload'!$B$10:$B$40,"",0),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Payload'!$A$10:$A$40,'SI - Payload'!$B$10:$B$40,"",0),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Payload'!$A$10:$A$40,'SI - Payload'!$B$10:$B$40,"",0),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Payload'!$A$10:$A$40,'SI - Payload'!$B$10:$B$40,"",0),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Payload'!$A$10:$A$40,'SI - Payload'!$B$10:$B$40,"",0),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Payload'!$A$10:$A$40,'SI - Payload'!$B$10:$B$40,"",0),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Payload'!$A$10:$A$40,'SI - Payload'!$B$10:$B$40,"",0),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Payload'!$A$10:$A$40,'SI - Payload'!$B$10:$B$40,"",0),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Payload'!$A$10:$A$40,'SI - Payload'!$B$10:$B$40,"",0),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Payload'!$A$10:$A$40,'SI - Payload'!$B$10:$B$40,"",0),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Payload'!$A$10:$A$40,'SI - Payload'!$B$10:$B$40,"",0),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Payload'!$A$10:$A$40,'SI - Payload'!$B$10:$B$40,"",0),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Payload'!$A$10:$A$40,'SI - Payload'!$B$10:$B$40,"",0),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Payload'!$A$10:$A$40,'SI - Payload'!$B$10:$B$40,"",0),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Payload'!$A$10:$A$40,'SI - Payload'!$B$10:$B$40,"",0),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Payload'!$A$10:$A$40,'SI - Payload'!$B$10:$B$40,"",0),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Payload'!$A$10:$A$40,'SI - Payload'!$B$10:$B$40,"",0),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Payload'!$A$10:$A$40,'SI - Payload'!$B$10:$B$40,"",0),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Payload'!$A$10:$A$40,'SI - Payload'!$B$10:$B$40,"",0),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Payload'!$A$10:$A$40,'SI - Payload'!$B$10:$B$40,"",0),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Payload'!$A$10:$A$40,'SI - Payload'!$B$10:$B$40,"",0),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Payload'!$A$10:$A$40,'SI - Payload'!$B$10:$B$40,"",0),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Payload'!$A$10:$A$40,'SI - Payload'!$B$10:$B$40,"",0),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Payload'!$A$10:$A$40,'SI - Payload'!$B$10:$B$40,"",0),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Payload'!$A$10:$A$40,'SI - Payload'!$B$10:$B$40,"",0),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Payload'!$A$10:$A$40,'SI - Payload'!$B$10:$B$40,"",0),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Payload'!$A$10:$A$40,'SI - Payload'!$B$10:$B$40,"",0),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Payload'!$A$10:$A$40,'SI - Payload'!$B$10:$B$40,"",0),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Payload'!$A$10:$A$40,'SI - Payload'!$B$10:$B$40,"",0),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Payload'!$A$10:$A$40,'SI - Payload'!$B$10:$B$40,"",0),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Payload'!$A$10:$A$40,'SI - Payload'!$B$10:$B$40,"",0),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Payload'!$A$10:$A$40,'SI - Payload'!$B$10:$B$40,"",0),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Payload'!$A$10:$A$40,'SI - Payload'!$B$10:$B$40,"",0),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Payload'!$A$10:$A$40,'SI - Payload'!$B$10:$B$40,"",0),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Payload'!$A$10:$A$40,'SI - Payload'!$B$10:$B$40,"",0),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Payload'!$A$10:$A$40,'SI - Payload'!$B$10:$B$40,"",0),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Payload'!$A$10:$A$40,'SI - Payload'!$B$10:$B$40,"",0),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Payload'!$A$10:$A$40,'SI - Payload'!$B$10:$B$40,"",0),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Payload'!$A$10:$A$40,'SI - Payload'!$B$10:$B$40,"",0),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Payload'!$A$10:$A$40,'SI - Payload'!$B$10:$B$40,"",0),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Payload'!$A$10:$A$40,'SI - Payload'!$B$10:$B$40,"",0),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Payload'!$A$10:$A$40,'SI - Payload'!$B$10:$B$40,"",0),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Payload'!$A$10:$A$40,'SI - Payload'!$B$10:$B$40,"",0),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row r="101" spans="1:20" x14ac:dyDescent="0.2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IF(Table118[[#This Row],[Type]]="Co-product", "No", "")</f>
        <v/>
      </c>
      <c r="J101" s="25"/>
      <c r="K101" s="6"/>
      <c r="L101" s="6" t="str">
        <f>IF(Table118[[#This Row],[Category]]="Transportation", _xlfn.XLOOKUP(Table118[[#This Row],[Resource]], 'SI - Payload'!$A$10:$A$40,'SI - Payload'!$B$10:$B$40,"",0), "")</f>
        <v/>
      </c>
      <c r="M101" s="6" t="str">
        <f>IF(Table118[[#This Row],[Category]]="Transportation", "ton", "")</f>
        <v/>
      </c>
      <c r="N101" s="6"/>
      <c r="O101" s="6"/>
      <c r="P101" s="6" t="str">
        <f>IF(OR(Table118[[#This Row],[Type]]="Main Product", Table118[[#This Row],[Type]]="Co-Product"), Table118[[#This Row],[Resource]], "")</f>
        <v/>
      </c>
      <c r="Q101" s="6" t="str">
        <f>IF(_xlfn.XLOOKUP($P101,'SI - End Use'!$B$2:$B$6,'SI - End Use'!$C$2:$C$6, "")="", "", _xlfn.XLOOKUP($C101,'SI - End Use'!$B$2:$B$6,'SI - End Use'!$C$2:$C$6, ""))</f>
        <v/>
      </c>
      <c r="R101" s="6"/>
      <c r="S101" s="6"/>
      <c r="T101" s="6"/>
    </row>
  </sheetData>
  <dataValidations count="7">
    <dataValidation type="decimal" allowBlank="1" showInputMessage="1" showErrorMessage="1" sqref="J6:J101" xr:uid="{2E780E09-E48E-406E-A27B-DB9924F9A17F}">
      <formula1>0</formula1>
      <formula2>1</formula2>
    </dataValidation>
    <dataValidation type="list" allowBlank="1" showInputMessage="1" showErrorMessage="1" sqref="M6:M101" xr:uid="{801C2333-1E78-4AFE-91E1-F879E6C4B0AC}">
      <formula1>payload_units</formula1>
    </dataValidation>
    <dataValidation type="decimal" operator="greaterThan" allowBlank="1" showInputMessage="1" showErrorMessage="1" error="Please type a positive number." sqref="L6:L101" xr:uid="{C786CC9A-A489-4A10-B74C-6742400B0318}">
      <formula1>0</formula1>
    </dataValidation>
    <dataValidation type="decimal" operator="greaterThan" allowBlank="1" showInputMessage="1" showErrorMessage="1" error="Please type a positive price." sqref="N6:N101" xr:uid="{54CCC6ED-D4ED-484E-BD5A-A8DBE927EB80}">
      <formula1>0</formula1>
    </dataValidation>
    <dataValidation type="decimal" allowBlank="1" showInputMessage="1" showErrorMessage="1" error="Please type a number between 0 and 1." sqref="G6:G101" xr:uid="{D4415697-233F-4DC1-97AC-092ADA5B0734}">
      <formula1>0</formula1>
      <formula2>1</formula2>
    </dataValidation>
    <dataValidation type="custom" allowBlank="1" showInputMessage="1" showErrorMessage="1" sqref="E6:E101" xr:uid="{04B3E80C-70A6-423B-84E7-890818FF62A5}">
      <formula1>ISNUMBER(E6)</formula1>
    </dataValidation>
    <dataValidation type="list" allowBlank="1" showInputMessage="1" showErrorMessage="1" sqref="C2" xr:uid="{C8F5A48F-AD92-4CA9-B690-92825DD6EC4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4A81919-E320-4E43-8CFB-A4E8642E2496}">
          <x14:formula1>
            <xm:f>IF($B6="Transportation",  transport_units, INDIRECT(_xlfn.XLOOKUP($C6, 'SI - Units'!$F$26:$F$36,'SI - Units'!$G$26:$G$36,"mass",0)))</xm:f>
          </x14:formula1>
          <xm:sqref>F6:F101</xm:sqref>
        </x14:dataValidation>
        <x14:dataValidation type="list" allowBlank="1" showInputMessage="1" showErrorMessage="1" xr:uid="{BC898F8B-9D0C-4D76-8FBF-49373E8FCC12}">
          <x14:formula1>
            <xm:f>INDIRECT("p_"&amp;_xlfn.XLOOKUP($C6,'SI - Units'!$F$26:$F$36,'SI - Units'!$G$26:$G$36,"mass",0))</xm:f>
          </x14:formula1>
          <xm:sqref>O6:O101</xm:sqref>
        </x14:dataValidation>
        <x14:dataValidation type="list" allowBlank="1" showInputMessage="1" showErrorMessage="1" xr:uid="{D4B16CB1-7F44-4449-A772-716793E2AF6A}">
          <x14:formula1>
            <xm:f>INDIRECT(_xlfn.XLOOKUP($P6,'SI - End Use'!$A$11:$A$17,'SI - End Use'!$B$11:$B$17,"other_end_use",0))</xm:f>
          </x14:formula1>
          <xm:sqref>Q6:R101</xm:sqref>
        </x14:dataValidation>
        <x14:dataValidation type="list" allowBlank="1" showInputMessage="1" xr:uid="{A026ABCD-9090-484C-8035-86332534803F}">
          <x14:formula1>
            <xm:f>INDIRECT(_xlfn.XLOOKUP($C6,'SI - End Use'!$A$11:$A$17,'SI - End Use'!$B$11:$B$17,"other_end_use",0))</xm:f>
          </x14:formula1>
          <xm:sqref>D6:D101</xm:sqref>
        </x14:dataValidation>
        <x14:dataValidation type="list" allowBlank="1" showInputMessage="1" showErrorMessage="1" xr:uid="{904E694A-45BB-4B94-897E-3907D357430E}">
          <x14:formula1>
            <xm:f>INDIRECT(_xlfn.XLOOKUP($B6, 'SI - Resources'!$R$1:$R$10,'SI - Resources'!$S$1:$S$10, "placeholder_resource", 0))</xm:f>
          </x14:formula1>
          <xm:sqref>P6:P101 C6:C101</xm:sqref>
        </x14:dataValidation>
        <x14:dataValidation type="list" allowBlank="1" showInputMessage="1" showErrorMessage="1" xr:uid="{A6556E34-1713-47C4-BBE6-25D582262715}">
          <x14:formula1>
            <xm:f>'SI - Co-products'!$B$2:$B$6</xm:f>
          </x14:formula1>
          <xm:sqref>A6:A101</xm:sqref>
        </x14:dataValidation>
        <x14:dataValidation type="list" allowBlank="1" showInputMessage="1" showErrorMessage="1" xr:uid="{FA116AF0-7221-484C-805C-A86D516E6E07}">
          <x14:formula1>
            <xm:f>'SI - Resources'!$A$1:$J$1</xm:f>
          </x14:formula1>
          <xm:sqref>B6:B101</xm:sqref>
        </x14:dataValidation>
        <x14:dataValidation type="list" allowBlank="1" showInputMessage="1" showErrorMessage="1" xr:uid="{DDD203C8-AF69-422E-A440-DCF3CD30F809}">
          <x14:formula1>
            <xm:f>'SI - Co-products'!$C$2:$C$4</xm:f>
          </x14:formula1>
          <xm:sqref>I6:I101</xm:sqref>
        </x14:dataValidation>
        <x14:dataValidation type="list" allowBlank="1" showInputMessage="1" showErrorMessage="1" xr:uid="{663B9A35-527C-4790-A0CD-A709044001BC}">
          <x14:formula1>
            <xm:f>'SI - Co-products'!$A$2:$A$5</xm:f>
          </x14:formula1>
          <xm:sqref>K6:K101</xm:sqref>
        </x14:dataValidation>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DF9BB-040A-4A42-933D-9209C1E76440}">
  <sheetPr codeName="Sheet19"/>
  <dimension ref="A1:T100"/>
  <sheetViews>
    <sheetView workbookViewId="0">
      <pane ySplit="5" topLeftCell="A6" activePane="bottomLeft" state="frozen"/>
      <selection activeCell="C19" sqref="C19"/>
      <selection pane="bottomLeft" activeCell="J9" sqref="J9"/>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124</v>
      </c>
    </row>
    <row r="3" spans="1:20" x14ac:dyDescent="0.25">
      <c r="A3" s="13" t="s">
        <v>334</v>
      </c>
      <c r="C3" s="78">
        <v>0.68500000000000005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244</v>
      </c>
      <c r="C6" s="6" t="s">
        <v>277</v>
      </c>
      <c r="D6" s="6" t="str">
        <f>IF(_xlfn.XLOOKUP($C6,'SI - End Use'!$B$2:$B$6,'SI - End Use'!$C$2:$C$6, "")="", "", _xlfn.XLOOKUP($C6,'SI - End Use'!$B$2:$B$6,'SI - End Use'!$C$2:$C$6, ""))</f>
        <v/>
      </c>
      <c r="E6" s="77">
        <v>1.000045143067781</v>
      </c>
      <c r="F6" s="6" t="s">
        <v>70</v>
      </c>
      <c r="G6" s="25"/>
      <c r="H6" s="25" t="s">
        <v>364</v>
      </c>
      <c r="I6" s="26" t="str">
        <f>IF(Table13[[#This Row],[Type]]="Co-product", "No", "")</f>
        <v/>
      </c>
      <c r="J6" s="25"/>
      <c r="K6" s="6"/>
      <c r="L6" s="6" t="str">
        <f>IF(Table13[[#This Row],[Category]]="Transportation", _xlfn.XLOOKUP(Table13[[#This Row],[Resource]], 'SI - Payload'!$A$10:$A$40,'SI - Payload'!$B$10:$B$40,"",0),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25">
      <c r="A7" s="6" t="s">
        <v>0</v>
      </c>
      <c r="B7" s="6" t="s">
        <v>245</v>
      </c>
      <c r="C7" s="6" t="s">
        <v>218</v>
      </c>
      <c r="D7" s="6" t="str">
        <f>IF(_xlfn.XLOOKUP($C7,'SI - End Use'!$B$2:$B$6,'SI - End Use'!$C$2:$C$6, "")="", "", _xlfn.XLOOKUP($C7,'SI - End Use'!$B$2:$B$6,'SI - End Use'!$C$2:$C$6, ""))</f>
        <v/>
      </c>
      <c r="E7" s="74">
        <v>1.087</v>
      </c>
      <c r="F7" s="6" t="s">
        <v>27</v>
      </c>
      <c r="G7" s="25"/>
      <c r="H7" s="25"/>
      <c r="I7" s="26" t="str">
        <f>IF(Table13[[#This Row],[Type]]="Co-product", "No", "")</f>
        <v/>
      </c>
      <c r="J7" s="25">
        <v>0.67</v>
      </c>
      <c r="K7" s="6"/>
      <c r="L7" s="6" t="str">
        <f>IF(Table13[[#This Row],[Category]]="Transportation", _xlfn.XLOOKUP(Table13[[#This Row],[Resource]], 'SI - Payload'!$A$10:$A$40,'SI - Payload'!$B$10:$B$40,"",0),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25">
      <c r="A8" s="6" t="s">
        <v>0</v>
      </c>
      <c r="B8" s="6" t="s">
        <v>33</v>
      </c>
      <c r="C8" s="6" t="s">
        <v>277</v>
      </c>
      <c r="D8" s="6"/>
      <c r="E8" s="12">
        <v>30</v>
      </c>
      <c r="F8" s="6" t="s">
        <v>34</v>
      </c>
      <c r="G8" s="25"/>
      <c r="H8" s="25"/>
      <c r="I8" s="26" t="str">
        <f>IF(Table13[[#This Row],[Type]]="Co-product", "No", "")</f>
        <v/>
      </c>
      <c r="J8" s="25"/>
      <c r="K8" s="6"/>
      <c r="L8" s="6">
        <f>IF(Table13[[#This Row],[Category]]="Transportation", _xlfn.XLOOKUP(Table13[[#This Row],[Resource]], 'SI - Payload'!$A$10:$A$40,'SI - Payload'!$B$10:$B$40,"",0), "")</f>
        <v>25</v>
      </c>
      <c r="M8" s="6" t="str">
        <f>IF(Table13[[#This Row],[Category]]="Transportation", "ton", "")</f>
        <v>ton</v>
      </c>
      <c r="N8" s="6"/>
      <c r="O8" s="6"/>
      <c r="P8" s="6"/>
      <c r="Q8" s="6"/>
      <c r="R8" s="6"/>
      <c r="S8" s="6"/>
      <c r="T8" s="6"/>
    </row>
    <row r="9" spans="1:20" x14ac:dyDescent="0.25">
      <c r="A9" s="6" t="s">
        <v>113</v>
      </c>
      <c r="B9" s="6" t="s">
        <v>244</v>
      </c>
      <c r="C9" s="6" t="s">
        <v>277</v>
      </c>
      <c r="D9" s="6" t="s">
        <v>83</v>
      </c>
      <c r="E9" s="12">
        <v>1</v>
      </c>
      <c r="F9" s="6" t="s">
        <v>70</v>
      </c>
      <c r="G9" s="25"/>
      <c r="H9" s="25"/>
      <c r="I9" s="26" t="str">
        <f>IF(Table13[[#This Row],[Type]]="Co-product", "No", "")</f>
        <v/>
      </c>
      <c r="J9" s="25">
        <v>0.7</v>
      </c>
      <c r="K9" s="6"/>
      <c r="L9" s="6" t="str">
        <f>IF(Table13[[#This Row],[Category]]="Transportation", _xlfn.XLOOKUP(Table13[[#This Row],[Resource]], 'SI - Payload'!$A$10:$A$40,'SI - Payload'!$B$10:$B$40,"",0), "")</f>
        <v/>
      </c>
      <c r="M9" s="6" t="str">
        <f>IF(Table13[[#This Row],[Category]]="Transportation", "ton", "")</f>
        <v/>
      </c>
      <c r="N9" s="6"/>
      <c r="O9" s="6"/>
      <c r="P9" s="6" t="s">
        <v>2</v>
      </c>
      <c r="Q9" s="6" t="s">
        <v>83</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Payload'!$A$10:$A$40,'SI - Payload'!$B$10:$B$40,"",0),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Payload'!$A$10:$A$40,'SI - Payload'!$B$10:$B$40,"",0),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Payload'!$A$10:$A$40,'SI - Payload'!$B$10:$B$40,"",0),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Payload'!$A$10:$A$40,'SI - Payload'!$B$10:$B$40,"",0),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Payload'!$A$10:$A$40,'SI - Payload'!$B$10:$B$40,"",0),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Payload'!$A$10:$A$40,'SI - Payload'!$B$10:$B$40,"",0),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Payload'!$A$10:$A$40,'SI - Payload'!$B$10:$B$40,"",0),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Payload'!$A$10:$A$40,'SI - Payload'!$B$10:$B$40,"",0),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Payload'!$A$10:$A$40,'SI - Payload'!$B$10:$B$40,"",0),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Payload'!$A$10:$A$40,'SI - Payload'!$B$10:$B$40,"",0),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Payload'!$A$10:$A$40,'SI - Payload'!$B$10:$B$40,"",0),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Payload'!$A$10:$A$40,'SI - Payload'!$B$10:$B$40,"",0),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Payload'!$A$10:$A$40,'SI - Payload'!$B$10:$B$40,"",0),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Payload'!$A$10:$A$40,'SI - Payload'!$B$10:$B$40,"",0),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Payload'!$A$10:$A$40,'SI - Payload'!$B$10:$B$40,"",0),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Payload'!$A$10:$A$40,'SI - Payload'!$B$10:$B$40,"",0),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Payload'!$A$10:$A$40,'SI - Payload'!$B$10:$B$40,"",0),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Payload'!$A$10:$A$40,'SI - Payload'!$B$10:$B$40,"",0),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Payload'!$A$10:$A$40,'SI - Payload'!$B$10:$B$40,"",0),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Payload'!$A$10:$A$40,'SI - Payload'!$B$10:$B$40,"",0),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Payload'!$A$10:$A$40,'SI - Payload'!$B$10:$B$40,"",0),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Payload'!$A$10:$A$40,'SI - Payload'!$B$10:$B$40,"",0),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Payload'!$A$10:$A$40,'SI - Payload'!$B$10:$B$40,"",0),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76C16573-38A2-4808-8C81-F730CBC19877}">
      <formula1>0</formula1>
      <formula2>1</formula2>
    </dataValidation>
    <dataValidation type="list" allowBlank="1" showInputMessage="1" showErrorMessage="1" sqref="M6:M100" xr:uid="{9B1AB7DC-ACDC-4B65-8271-CCC829B2833E}">
      <formula1>payload_units</formula1>
    </dataValidation>
    <dataValidation type="decimal" operator="greaterThan" allowBlank="1" showInputMessage="1" showErrorMessage="1" error="Please type a positive number." sqref="L6:L100" xr:uid="{41D113A3-FA4D-4C7F-9E40-7F82954EE5AB}">
      <formula1>0</formula1>
    </dataValidation>
    <dataValidation type="decimal" operator="greaterThan" allowBlank="1" showInputMessage="1" showErrorMessage="1" error="Please type a positive price." sqref="N6:N100" xr:uid="{0A4B76D7-8706-4AA2-BC41-2D95244165AE}">
      <formula1>0</formula1>
    </dataValidation>
    <dataValidation type="decimal" allowBlank="1" showInputMessage="1" showErrorMessage="1" error="Please type a number between 0 and 1." sqref="G6:G100" xr:uid="{0D8D56B4-5328-46A9-BE89-0B709E18A0F1}">
      <formula1>0</formula1>
      <formula2>1</formula2>
    </dataValidation>
    <dataValidation type="custom" allowBlank="1" showInputMessage="1" showErrorMessage="1" sqref="E6:E100" xr:uid="{1D8C661F-49DA-46BB-8C50-6DE23188EDAA}">
      <formula1>ISNUMBER(E6)</formula1>
    </dataValidation>
    <dataValidation type="list" allowBlank="1" showInputMessage="1" showErrorMessage="1" sqref="C2" xr:uid="{BEE0BAB4-8326-4DE1-8F43-C446330E7E7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C8AC9C5-B7B4-4334-958B-4A683BA93E46}">
          <x14:formula1>
            <xm:f>IF($B6="Transportation",  transport_units, INDIRECT(_xlfn.XLOOKUP($C6, 'SI - Units'!$F$26:$F$36,'SI - Units'!$G$26:$G$36,"mass",0)))</xm:f>
          </x14:formula1>
          <xm:sqref>F6:F100</xm:sqref>
        </x14:dataValidation>
        <x14:dataValidation type="list" allowBlank="1" showInputMessage="1" showErrorMessage="1" xr:uid="{4EB70498-C6EB-4063-A593-8878AD151BCF}">
          <x14:formula1>
            <xm:f>INDIRECT("p_"&amp;_xlfn.XLOOKUP($C6,'SI - Units'!$F$26:$F$36,'SI - Units'!$G$26:$G$36,"mass",0))</xm:f>
          </x14:formula1>
          <xm:sqref>O6:O100</xm:sqref>
        </x14:dataValidation>
        <x14:dataValidation type="list" allowBlank="1" showInputMessage="1" showErrorMessage="1" xr:uid="{B002F1FE-3228-41DE-B0A5-22DC00FCD78D}">
          <x14:formula1>
            <xm:f>INDIRECT(_xlfn.XLOOKUP($P6,'SI - End Use'!$A$11:$A$17,'SI - End Use'!$B$11:$B$17,"other_end_use",0))</xm:f>
          </x14:formula1>
          <xm:sqref>Q6:R100</xm:sqref>
        </x14:dataValidation>
        <x14:dataValidation type="list" allowBlank="1" showInputMessage="1" xr:uid="{337CC050-6D8A-48C9-B4EA-33B3170C0601}">
          <x14:formula1>
            <xm:f>INDIRECT(_xlfn.XLOOKUP($C6,'SI - End Use'!$A$11:$A$17,'SI - End Use'!$B$11:$B$17,"other_end_use",0))</xm:f>
          </x14:formula1>
          <xm:sqref>D6:D100</xm:sqref>
        </x14:dataValidation>
        <x14:dataValidation type="list" allowBlank="1" showInputMessage="1" showErrorMessage="1" xr:uid="{808552DB-C17C-43EF-91B7-B43AA808615D}">
          <x14:formula1>
            <xm:f>INDIRECT(_xlfn.XLOOKUP($B6, 'SI - Resources'!$R$1:$R$10,'SI - Resources'!$S$1:$S$10, "placeholder_resource", 0))</xm:f>
          </x14:formula1>
          <xm:sqref>C6:C100 P6:P100</xm:sqref>
        </x14:dataValidation>
        <x14:dataValidation type="list" allowBlank="1" showInputMessage="1" showErrorMessage="1" xr:uid="{4F2BF4B8-AAD3-425A-BA30-4A7B1A0AC2DE}">
          <x14:formula1>
            <xm:f>'SI - Co-products'!$B$2:$B$6</xm:f>
          </x14:formula1>
          <xm:sqref>A6:A100</xm:sqref>
        </x14:dataValidation>
        <x14:dataValidation type="list" allowBlank="1" showInputMessage="1" showErrorMessage="1" xr:uid="{EBAD5B70-2D7A-41B1-9CE2-25A319FD86C3}">
          <x14:formula1>
            <xm:f>'SI - Resources'!$A$1:$J$1</xm:f>
          </x14:formula1>
          <xm:sqref>B6:B100</xm:sqref>
        </x14:dataValidation>
        <x14:dataValidation type="list" allowBlank="1" showInputMessage="1" showErrorMessage="1" xr:uid="{00AB50E3-4954-4545-B1E5-54A40E322E23}">
          <x14:formula1>
            <xm:f>'SI - Co-products'!$C$2:$C$4</xm:f>
          </x14:formula1>
          <xm:sqref>I6:I100</xm:sqref>
        </x14:dataValidation>
        <x14:dataValidation type="list" allowBlank="1" showInputMessage="1" showErrorMessage="1" xr:uid="{71E80948-EFE0-4E27-AE3E-BC72935AD8E3}">
          <x14:formula1>
            <xm:f>'SI - Co-products'!$A$2:$A$5</xm:f>
          </x14:formula1>
          <xm:sqref>K6:K100</xm:sqref>
        </x14:dataValidation>
        <x14:dataValidation type="list" allowBlank="1" showInputMessage="1" showErrorMessage="1" xr:uid="{34609A6D-FF10-45B6-90E8-B7B323B93464}">
          <x14:formula1>
            <xm:f>_xlfn.XLOOKUP(_xlfn.XLOOKUP(#REF!,'SI - Units'!$B$24:$B$109,'SI - Units'!$C$24:$C$109),'SI - Units'!$A$2:$A$8,'SI - Units'!$B$2:$R$8)</xm:f>
          </x14:formula1>
          <xm:sqref>F5</xm:sqref>
        </x14:dataValidation>
        <x14:dataValidation type="list" allowBlank="1" showInputMessage="1" showErrorMessage="1" xr:uid="{C5B79D87-C511-4431-9997-51E58A8DE11F}">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5" x14ac:dyDescent="0.25"/>
  <cols>
    <col min="1" max="1" width="20.5703125" bestFit="1" customWidth="1"/>
    <col min="8" max="8" width="14.140625" bestFit="1" customWidth="1"/>
  </cols>
  <sheetData>
    <row r="1" spans="1:8" x14ac:dyDescent="0.25">
      <c r="A1" s="61"/>
      <c r="B1" s="84" t="s">
        <v>338</v>
      </c>
      <c r="C1" s="84"/>
      <c r="D1" s="62" t="s">
        <v>339</v>
      </c>
      <c r="E1" s="62" t="s">
        <v>340</v>
      </c>
      <c r="F1" s="62" t="s">
        <v>341</v>
      </c>
      <c r="G1" s="62" t="s">
        <v>342</v>
      </c>
      <c r="H1" s="62" t="s">
        <v>343</v>
      </c>
    </row>
    <row r="2" spans="1:8" x14ac:dyDescent="0.25">
      <c r="A2" s="62" t="s">
        <v>344</v>
      </c>
      <c r="B2" s="83">
        <v>89.04</v>
      </c>
      <c r="C2" s="83"/>
      <c r="D2" s="64">
        <v>1</v>
      </c>
      <c r="E2" s="63"/>
      <c r="F2" s="63"/>
      <c r="G2" s="65">
        <v>0.3</v>
      </c>
      <c r="H2" s="65">
        <v>0</v>
      </c>
    </row>
    <row r="3" spans="1:8" x14ac:dyDescent="0.25">
      <c r="A3" s="62" t="s">
        <v>345</v>
      </c>
      <c r="B3" s="85">
        <v>23.19</v>
      </c>
      <c r="C3" s="86"/>
      <c r="D3" s="66"/>
      <c r="E3" s="67">
        <v>1</v>
      </c>
      <c r="F3" s="66"/>
      <c r="G3" s="68">
        <v>0.2</v>
      </c>
      <c r="H3" s="68">
        <v>8.7999999999999995E-2</v>
      </c>
    </row>
    <row r="4" spans="1:8" x14ac:dyDescent="0.25">
      <c r="A4" s="62"/>
      <c r="B4" s="63"/>
      <c r="C4" s="63"/>
      <c r="D4" s="63"/>
      <c r="E4" s="63"/>
      <c r="F4" s="63"/>
      <c r="G4" s="63"/>
      <c r="H4" s="63"/>
    </row>
    <row r="5" spans="1:8" x14ac:dyDescent="0.25">
      <c r="A5" s="62"/>
      <c r="B5" s="69" t="s">
        <v>346</v>
      </c>
      <c r="C5" s="69" t="s">
        <v>347</v>
      </c>
      <c r="D5" s="69" t="s">
        <v>339</v>
      </c>
      <c r="E5" s="69" t="s">
        <v>340</v>
      </c>
      <c r="F5" s="69" t="s">
        <v>341</v>
      </c>
      <c r="G5" s="69" t="s">
        <v>342</v>
      </c>
      <c r="H5" s="62" t="s">
        <v>343</v>
      </c>
    </row>
    <row r="6" spans="1:8" x14ac:dyDescent="0.25">
      <c r="A6" s="62" t="s">
        <v>348</v>
      </c>
      <c r="B6" s="70">
        <v>34.840000000000003</v>
      </c>
      <c r="C6" s="63">
        <v>17.684999999999999</v>
      </c>
      <c r="D6" s="64">
        <v>1</v>
      </c>
      <c r="E6" s="66"/>
      <c r="F6" s="66"/>
      <c r="G6" s="71">
        <v>0.2</v>
      </c>
      <c r="H6" s="71">
        <v>0</v>
      </c>
    </row>
    <row r="7" spans="1:8" x14ac:dyDescent="0.25">
      <c r="A7" s="61"/>
      <c r="B7" s="63"/>
      <c r="C7" s="64"/>
      <c r="D7" s="64"/>
      <c r="E7" s="63"/>
      <c r="F7" s="63"/>
      <c r="G7" s="63"/>
      <c r="H7" s="63"/>
    </row>
    <row r="8" spans="1:8" x14ac:dyDescent="0.25">
      <c r="A8" s="61"/>
      <c r="B8" s="87" t="s">
        <v>349</v>
      </c>
      <c r="C8" s="87"/>
      <c r="D8" s="69" t="s">
        <v>339</v>
      </c>
      <c r="E8" s="69" t="s">
        <v>340</v>
      </c>
      <c r="F8" s="69" t="s">
        <v>341</v>
      </c>
      <c r="G8" s="69" t="s">
        <v>342</v>
      </c>
      <c r="H8" s="62" t="s">
        <v>343</v>
      </c>
    </row>
    <row r="9" spans="1:8" x14ac:dyDescent="0.25">
      <c r="A9" s="62" t="s">
        <v>350</v>
      </c>
      <c r="B9" s="83">
        <v>10.92</v>
      </c>
      <c r="C9" s="83"/>
      <c r="D9" s="63"/>
      <c r="E9" s="64">
        <v>1</v>
      </c>
      <c r="F9" s="63"/>
      <c r="G9" s="71">
        <v>0.11409999999999999</v>
      </c>
      <c r="H9" s="71">
        <v>8.1557678177810455E-2</v>
      </c>
    </row>
    <row r="10" spans="1:8" x14ac:dyDescent="0.25">
      <c r="A10" s="62" t="s">
        <v>351</v>
      </c>
      <c r="B10" s="83">
        <v>289.14999999999998</v>
      </c>
      <c r="C10" s="83"/>
      <c r="D10" s="63"/>
      <c r="E10" s="64">
        <v>1</v>
      </c>
      <c r="F10" s="63"/>
      <c r="G10" s="71">
        <v>0.11409999999999999</v>
      </c>
      <c r="H10" s="71">
        <v>0.02</v>
      </c>
    </row>
    <row r="11" spans="1:8" x14ac:dyDescent="0.25">
      <c r="A11" s="62" t="s">
        <v>352</v>
      </c>
      <c r="B11" s="83">
        <v>7.72</v>
      </c>
      <c r="C11" s="83"/>
      <c r="D11" s="72">
        <v>0.89500000000000002</v>
      </c>
      <c r="E11" s="72">
        <f>1-D11</f>
        <v>0.10499999999999998</v>
      </c>
      <c r="F11" s="63"/>
      <c r="G11" s="71">
        <v>0.11409999999999999</v>
      </c>
      <c r="H11" s="71">
        <v>0</v>
      </c>
    </row>
    <row r="12" spans="1:8" x14ac:dyDescent="0.25">
      <c r="A12" s="62" t="s">
        <v>353</v>
      </c>
      <c r="B12" s="83">
        <v>0</v>
      </c>
      <c r="C12" s="83"/>
      <c r="D12" s="63"/>
      <c r="E12" s="64">
        <v>1</v>
      </c>
      <c r="F12" s="63"/>
      <c r="G12" s="71">
        <v>0.11409999999999999</v>
      </c>
      <c r="H12" s="71">
        <v>0</v>
      </c>
    </row>
    <row r="13" spans="1:8" x14ac:dyDescent="0.25">
      <c r="A13" s="61"/>
      <c r="B13" s="63"/>
      <c r="C13" s="63"/>
      <c r="D13" s="63"/>
      <c r="E13" s="63"/>
      <c r="F13" s="63"/>
      <c r="G13" s="63"/>
      <c r="H13" s="63"/>
    </row>
    <row r="14" spans="1:8" x14ac:dyDescent="0.25">
      <c r="A14" s="62"/>
      <c r="B14" s="69" t="s">
        <v>346</v>
      </c>
      <c r="C14" s="69" t="s">
        <v>347</v>
      </c>
      <c r="D14" s="69" t="s">
        <v>339</v>
      </c>
      <c r="E14" s="69" t="s">
        <v>340</v>
      </c>
      <c r="F14" s="69" t="s">
        <v>341</v>
      </c>
      <c r="G14" s="69" t="s">
        <v>342</v>
      </c>
      <c r="H14" s="62" t="s">
        <v>343</v>
      </c>
    </row>
    <row r="15" spans="1:8" x14ac:dyDescent="0.2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Fuel distribution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2022-11-08T22:15:35Z</dcterms:modified>
</cp:coreProperties>
</file>