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4C5EC6E3-4DCC-4A2C-B4C4-4EAC31D4195A}" xr6:coauthVersionLast="47" xr6:coauthVersionMax="47" xr10:uidLastSave="{00000000-0000-0000-0000-000000000000}"/>
  <bookViews>
    <workbookView xWindow="-110" yWindow="-110" windowWidth="22780" windowHeight="14660" tabRatio="685" activeTab="1"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<sst xmlns="http://schemas.openxmlformats.org/spreadsheetml/2006/main" count="737" uniqueCount="337">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</sst>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400]h:mm:ss\ AM/PM"/>
    <numFmt numFmtId="165" formatCode="_(* #,##0_);_(* \(#,##0\);_(* &quot;-&quot;??_);_(@_)"/>
    <numFmt numFmtId="166"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3">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60">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59" dataDxfId="58" tableBorderDxfId="57" dataCellStyle="Percent">
  <autoFilter ref="A5:T100" xr:uid="{1644AED8-49DE-4A1D-989C-1566C9A522B9}"/>
  <tableColumns count="20">
    <tableColumn id="1" xr3:uid="{3C4E83C1-4DAF-4B93-AE9A-B658DBA43631}" name="Type" dataDxfId="56"/>
    <tableColumn id="2" xr3:uid="{7AC9B54E-C457-49EC-A7D6-0ED656B6CFE9}" name="Category" dataDxfId="55"/>
    <tableColumn id="3" xr3:uid="{350F9A14-F368-49FE-AF21-19555EB999FB}" name="Resource" dataDxfId="54">
      <calculatedColumnFormula>_xlfn.XLOOKUP($B6,'SI - Resources'!$A$1:$J$1,'SI - Resources'!$A$2:$J$2, "")</calculatedColumnFormula>
    </tableColumn>
    <tableColumn id="4" xr3:uid="{A0B55D89-6640-4C29-88AC-93188C5097C5}" name="End Use" dataDxfId="53">
      <calculatedColumnFormula>IF(_xlfn.XLOOKUP($C6,'SI - End Use'!$B$2:$B$6,'SI - End Use'!$C$2:$C$6, "")="", "", _xlfn.XLOOKUP($C6,'SI - End Use'!$B$2:$B$6,'SI - End Use'!$C$2:$C$6, ""))</calculatedColumnFormula>
    </tableColumn>
    <tableColumn id="5" xr3:uid="{5ADDDF1D-4510-4428-A882-8D5C8F52BE8C}" name="Amount" dataDxfId="52" dataCellStyle="Comma"/>
    <tableColumn id="6" xr3:uid="{341D427F-5F42-4F22-98AD-9D6883E4330B}" name="Unit" dataDxfId="51">
      <calculatedColumnFormula array="1">IF($B6="Transportation",  'SI - Units'!$B$9:$B$9, _xlfn.XLOOKUP(_xlfn.XLOOKUP($C6,'SI - Units'!$B$24:$B$109,'SI - Units'!$C$24:$C$109, ""),'SI - Units'!$A$2:$A$8,'SI - Units'!$B$2:$B$8, ""))</calculatedColumnFormula>
    </tableColumn>
    <tableColumn id="7" xr3:uid="{515C4DB0-B187-40B1-8F47-45FF3483AEC1}" name="Moisture" dataDxfId="50" dataCellStyle="Percent"/>
    <tableColumn id="8" xr3:uid="{294BC856-42BB-4049-BD49-6A865E88E771}" name="Previous Stage" dataDxfId="49" dataCellStyle="Percent"/>
    <tableColumn id="9" xr3:uid="{CDA23678-EB57-4035-9101-F29AA45C63EE}" name="Always Use Displacement Method for Co-Product?" dataDxfId="48" dataCellStyle="Percent">
      <calculatedColumnFormula>IF(Table1[[#This Row],[Type]]="Co-product", "No", "")</calculatedColumnFormula>
    </tableColumn>
    <tableColumn id="19" xr3:uid="{9ACBBA67-4B7F-43A7-9CF8-0FBB7B61A832}" name="Urban Share" dataDxfId="47" dataCellStyle="Percent"/>
    <tableColumn id="10" xr3:uid="{0E5BF4B8-8667-40EE-B9EF-BC9E06D72AAB}" name="Product Train" dataDxfId="46"/>
    <tableColumn id="14" xr3:uid="{D99A9C54-A8C3-4803-A70D-4659D5193A9A}" name="Payload" dataDxfId="45">
      <calculatedColumnFormula>IF(Table1[[#This Row],[Category]]="Transportation", _xlfn.XLOOKUP(Table1[[#This Row],[Resource]], 'SI - Payload'!$A$10:$A$38,'SI - Payload'!$B$10:$B$38,"",0), "")</calculatedColumnFormula>
    </tableColumn>
    <tableColumn id="15" xr3:uid="{3BF278AE-6D04-4ABA-AACE-E651957B5676}" name="Payload Unit" dataDxfId="44">
      <calculatedColumnFormula>IF(Table1[[#This Row],[Category]]="Transportation", "ton", "")</calculatedColumnFormula>
    </tableColumn>
    <tableColumn id="16" xr3:uid="{B4587E16-116C-48C2-B897-34EA45D2B5E2}" name="Market Price" dataDxfId="43"/>
    <tableColumn id="17" xr3:uid="{CFF030DD-8740-4448-85CE-69419CA7344D}" name="Market Price Unit" dataDxfId="42"/>
    <tableColumn id="12" xr3:uid="{0A5A1CE9-5C17-482C-ACCA-BB3BA789761E}" name="Incumbent Product" dataDxfId="41">
      <calculatedColumnFormula>IF(OR(Table1[[#This Row],[Type]]="Main Product", Table1[[#This Row],[Type]]="Co-Product"), Table1[[#This Row],[Resource]], "")</calculatedColumnFormula>
    </tableColumn>
    <tableColumn id="13" xr3:uid="{A8C514D4-4EE9-4BFC-A5D9-1A3B1C61CAF3}" name="End Use of Incumbent Product" dataDxfId="40">
      <calculatedColumnFormula>IF(_xlfn.XLOOKUP($P6,'SI - End Use'!$B$2:$B$6,'SI - End Use'!$C$2:$C$6, "")="", "", _xlfn.XLOOKUP($C6,'SI - End Use'!$B$2:$B$6,'SI - End Use'!$C$2:$C$6, ""))</calculatedColumnFormula>
    </tableColumn>
    <tableColumn id="20" xr3:uid="{3D510D5D-99B7-4EB4-8590-3620FE598E5C}" name="Surrogate For" dataDxfId="39"/>
    <tableColumn id="18" xr3:uid="{1AFBF91D-E45D-442D-BA06-D58B0AE7953E}" name="Process" dataDxfId="38"/>
    <tableColumn id="11" xr3:uid="{34D8D993-53F9-46B7-8FE9-32F1A6F2DFD2}" name="Note" dataDxfId="3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36" dataDxfId="35">
  <autoFilter ref="A1:K53" xr:uid="{BF352F56-F627-4A8D-9B22-DA497E2644FC}"/>
  <tableColumns count="11">
    <tableColumn id="1" xr3:uid="{B4C1BEA4-EC08-4542-9BC0-5CAC3303F1DE}" name="Biomass" dataDxfId="34"/>
    <tableColumn id="8" xr3:uid="{CA09F49F-4D37-4D57-9F64-66042BBFCAF3}" name="Waste" dataDxfId="33"/>
    <tableColumn id="2" xr3:uid="{16936180-7E0F-4E08-BEC7-75346859C647}" name="Process fuel" dataDxfId="32"/>
    <tableColumn id="6" xr3:uid="{8ABA29FD-C6B0-4B51-8840-E17193E077EC}" name="Electricity" dataDxfId="31"/>
    <tableColumn id="3" xr3:uid="{C1A34163-30E4-47F2-BE75-A919CC80E9BF}" name="Chemicals and catalysts" dataDxfId="30"/>
    <tableColumn id="4" xr3:uid="{CA7E12F4-CA42-4C30-8167-75EC0AE0646A}" name="Water" dataDxfId="29"/>
    <tableColumn id="9" xr3:uid="{6ADE4401-0F6C-4911-9721-036C8287FC6F}" name="Infrastructure" dataDxfId="28"/>
    <tableColumn id="7" xr3:uid="{C235CCC4-A94E-464B-AE35-96309F90FA7A}" name="Transportation" dataDxfId="27"/>
    <tableColumn id="10" xr3:uid="{C8DE9AE9-442D-497B-B981-79FAEF638C23}" name="Other" dataDxfId="26"/>
    <tableColumn id="5" xr3:uid="{FBD24046-BCD6-418A-8FDF-2918685E10CE}" name="Emissions and sequestration" dataDxfId="25"/>
    <tableColumn id="11" xr3:uid="{B559EE47-EDB5-47AD-9A10-77802A08495D}" name="Placeholder" dataDxfId="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3"/>
    <tableColumn id="4" xr3:uid="{066E5028-FE97-46DD-94DD-3F5362889CC8}" name="Column4" dataDxfId="22"/>
    <tableColumn id="5" xr3:uid="{518CF11D-9FC1-41DC-A48E-08F72F35ADAA}" name="Column5" dataDxfId="2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0">
  <autoFilter ref="A1:R10" xr:uid="{A38095DD-9874-4EE7-A8C2-2706165CCEBD}"/>
  <tableColumns count="18">
    <tableColumn id="1" xr3:uid="{65B7BBF3-4BCE-43A4-9B03-83AE412598EC}" name="Column1"/>
    <tableColumn id="2" xr3:uid="{FFDF068B-D532-4DC4-904E-48D00A60A52E}" name="Column2" dataDxfId="19"/>
    <tableColumn id="3" xr3:uid="{22885E79-E7D2-4EEE-B0A6-74B1C5779681}" name="Column3" dataDxfId="18"/>
    <tableColumn id="4" xr3:uid="{C1DEFD79-EA05-47FD-8251-B29B3BCC06B2}" name="Column4" dataDxfId="17"/>
    <tableColumn id="5" xr3:uid="{29AEEBB1-E43B-4691-B73C-A8FA6D80443C}" name="Column5" dataDxfId="16"/>
    <tableColumn id="6" xr3:uid="{CC08C1F9-C485-4200-A0F9-C8E59BA65B97}" name="Column6" dataDxfId="15"/>
    <tableColumn id="7" xr3:uid="{6C28381F-6253-4E2E-A800-FF075582292A}" name="Column7" dataDxfId="14"/>
    <tableColumn id="8" xr3:uid="{CA3D0B6B-B24F-4751-A1CE-28D7D0B98174}" name="Column8" dataDxfId="13"/>
    <tableColumn id="9" xr3:uid="{7057E753-ED12-407E-950F-CC59E808A2BF}" name="Column9" dataDxfId="1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1">
  <autoFilter ref="B23:C109" xr:uid="{09147A22-E822-45D3-B3C2-ABDDF48EE5E6}"/>
  <tableColumns count="2">
    <tableColumn id="1" xr3:uid="{CDC0A0AC-3BED-4650-82CE-403A1BF28367}" name="Column1" dataDxfId="10"/>
    <tableColumn id="2" xr3:uid="{B6F8A3B9-3868-4A35-8F6E-BA3E60A1529E}" name="Column2" dataDxfId="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8">
  <autoFilter ref="A12:R20" xr:uid="{B01EA81C-1645-4ED3-BEC5-6C5396237E43}"/>
  <tableColumns count="18">
    <tableColumn id="1" xr3:uid="{821EE498-6278-4E39-82EF-1F47FBA85A36}" name="Column1"/>
    <tableColumn id="2" xr3:uid="{E81954FF-60B7-4ABD-BC14-40676F73AA3E}" name="Column2" dataDxfId="7">
      <calculatedColumnFormula>IF(B2&lt;&gt;"","$/"&amp;B2, "")</calculatedColumnFormula>
    </tableColumn>
    <tableColumn id="3" xr3:uid="{A15329FC-BC0D-46AE-9A0E-F4CFE0FF184A}" name="Column3" dataDxfId="6">
      <calculatedColumnFormula>IF(C2&lt;&gt;"","$/"&amp;C2, "")</calculatedColumnFormula>
    </tableColumn>
    <tableColumn id="4" xr3:uid="{2197BCF8-40A1-4D22-B05E-D0E1CBFBA215}" name="Column4" dataDxfId="5">
      <calculatedColumnFormula>IF(D2&lt;&gt;"","$/"&amp;D2, "")</calculatedColumnFormula>
    </tableColumn>
    <tableColumn id="5" xr3:uid="{3DAF72F2-745A-4FCF-BD44-BDC825984018}" name="Column5" dataDxfId="4">
      <calculatedColumnFormula>IF(E2&lt;&gt;"","$/"&amp;E2, "")</calculatedColumnFormula>
    </tableColumn>
    <tableColumn id="6" xr3:uid="{820E7353-19C6-4D63-B444-F7CAC7BF01AA}" name="Column6" dataDxfId="3">
      <calculatedColumnFormula>IF(F2&lt;&gt;"","$/"&amp;F2, "")</calculatedColumnFormula>
    </tableColumn>
    <tableColumn id="7" xr3:uid="{91F510E8-B638-43EB-BA78-D4632DA66CD4}" name="Column7" dataDxfId="2">
      <calculatedColumnFormula>IF(G2&lt;&gt;"","$/"&amp;G2, "")</calculatedColumnFormula>
    </tableColumn>
    <tableColumn id="8" xr3:uid="{9CD4EFF6-953E-4257-A2B2-041DCDDBD0BB}" name="Column8" dataDxfId="1">
      <calculatedColumnFormula>IF(H2&lt;&gt;"","$/"&amp;H2, "")</calculatedColumnFormula>
    </tableColumn>
    <tableColumn id="9" xr3:uid="{E1D1E2ED-A567-4428-8C9E-5EE867B5D225}" name="Column9" dataDxfId="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0" t="s">
        <v>261</v>
      </c>
      <c r="B2" s="60"/>
    </row>
    <row r="3" spans="1:3" ht="29.15" customHeight="1" x14ac:dyDescent="0.35">
      <c r="A3" s="62" t="s">
        <v>274</v>
      </c>
      <c r="B3" s="62"/>
    </row>
    <row r="4" spans="1:3" ht="28" customHeight="1" x14ac:dyDescent="0.35">
      <c r="A4" s="19"/>
      <c r="B4" s="19"/>
    </row>
    <row r="5" spans="1:3" ht="28" customHeight="1" x14ac:dyDescent="0.35">
      <c r="A5" s="61" t="s">
        <v>260</v>
      </c>
      <c r="B5" s="61"/>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tabSelected="1" topLeftCell="J1" workbookViewId="0">
      <pane ySplit="5" topLeftCell="A6" activePane="bottomLeft" state="frozen"/>
      <selection activeCell="C19" sqref="C19"/>
      <selection pane="bottomLeft" activeCell="R6" sqref="R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Q6:Q100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32</vt:i4>
      </vt:variant>
    </vt:vector>
  </HeadingPairs>
  <TitlesOfParts>
    <vt:vector size="39" baseType="lpstr">
      <vt:lpstr>Introduction</vt:lpstr>
      <vt:lpstr>Template</vt:lpstr>
      <vt:lpstr>SI - Payload</vt:lpstr>
      <vt:lpstr>SI - Resources</vt:lpstr>
      <vt:lpstr>SI - End Use</vt:lpstr>
      <vt:lpstr>SI - Units</vt:lpstr>
      <vt:lpstr>SI - Co-products</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2022-11-07T21:41:53Z</dcterms:modified>
</cp:coreProperties>
</file>